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-my.sharepoint.com/personal/stefany_oliveira_pucpr_edu_br/Documents/Documentos/GitHub/PROJETO-EXPERIENCIA-CRIATIVA-INOVANDO-EM-PROCESSOS/FASE 2/"/>
    </mc:Choice>
  </mc:AlternateContent>
  <xr:revisionPtr revIDLastSave="11" documentId="8_{E5F1155B-384C-451C-871D-3630B7CFA6F1}" xr6:coauthVersionLast="47" xr6:coauthVersionMax="47" xr10:uidLastSave="{D4ABF1FF-A08F-4D43-9036-3CF2C0BE6BBD}"/>
  <bookViews>
    <workbookView xWindow="-120" yWindow="-120" windowWidth="29040" windowHeight="15720" xr2:uid="{2BA9A6CF-492F-4CCB-A27F-FFC55E200CD8}"/>
  </bookViews>
  <sheets>
    <sheet name="Planejamento da Entrev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" l="1"/>
  <c r="B128" i="1"/>
  <c r="C118" i="1"/>
  <c r="B118" i="1"/>
  <c r="C108" i="1"/>
  <c r="B108" i="1"/>
  <c r="C101" i="1"/>
  <c r="C90" i="1"/>
  <c r="B90" i="1"/>
  <c r="C80" i="1"/>
  <c r="B80" i="1"/>
  <c r="C71" i="1"/>
  <c r="B71" i="1"/>
  <c r="C61" i="1"/>
  <c r="B61" i="1"/>
  <c r="C52" i="1"/>
  <c r="B52" i="1"/>
  <c r="C41" i="1"/>
  <c r="B41" i="1"/>
  <c r="B33" i="1"/>
  <c r="C33" i="1"/>
  <c r="B23" i="1"/>
  <c r="C23" i="1"/>
  <c r="A128" i="1" l="1"/>
  <c r="D128" i="1" s="1"/>
  <c r="A118" i="1"/>
  <c r="D118" i="1" s="1"/>
  <c r="A108" i="1"/>
  <c r="D108" i="1" s="1"/>
  <c r="A101" i="1"/>
  <c r="D101" i="1" s="1"/>
  <c r="A90" i="1"/>
  <c r="D90" i="1" s="1"/>
  <c r="A80" i="1"/>
  <c r="D80" i="1" s="1"/>
  <c r="A71" i="1"/>
  <c r="D71" i="1" s="1"/>
  <c r="A61" i="1"/>
  <c r="D61" i="1" s="1"/>
  <c r="A52" i="1"/>
  <c r="D52" i="1" s="1"/>
  <c r="A41" i="1"/>
  <c r="D41" i="1" s="1"/>
  <c r="A23" i="1"/>
  <c r="A33" i="1"/>
  <c r="C134" i="1"/>
  <c r="D33" i="1" s="1"/>
  <c r="D23" i="1"/>
  <c r="B134" i="1"/>
  <c r="A134" i="1" l="1"/>
  <c r="D134" i="1" s="1"/>
</calcChain>
</file>

<file path=xl/sharedStrings.xml><?xml version="1.0" encoding="utf-8"?>
<sst xmlns="http://schemas.openxmlformats.org/spreadsheetml/2006/main" count="297" uniqueCount="140">
  <si>
    <t>Calculo de Aderência  - MAISPS</t>
  </si>
  <si>
    <t>Processo</t>
  </si>
  <si>
    <t>REP</t>
  </si>
  <si>
    <t>Resultado</t>
  </si>
  <si>
    <t xml:space="preserve">Gerência de Projetos - GPR </t>
  </si>
  <si>
    <t>GPR1</t>
  </si>
  <si>
    <t>Atende</t>
  </si>
  <si>
    <t>GPR2</t>
  </si>
  <si>
    <t xml:space="preserve">   </t>
  </si>
  <si>
    <t>GPR3</t>
  </si>
  <si>
    <t>Não atende</t>
  </si>
  <si>
    <t>GPR4</t>
  </si>
  <si>
    <t>GPR5</t>
  </si>
  <si>
    <t>GPR6</t>
  </si>
  <si>
    <t>GPR7</t>
  </si>
  <si>
    <t>GPR8</t>
  </si>
  <si>
    <t>GPR9</t>
  </si>
  <si>
    <t>GPR10</t>
  </si>
  <si>
    <t>GPR11</t>
  </si>
  <si>
    <t>GPR12</t>
  </si>
  <si>
    <t>GPR13</t>
  </si>
  <si>
    <t>GPR14</t>
  </si>
  <si>
    <t>GPR15</t>
  </si>
  <si>
    <t>GPR16</t>
  </si>
  <si>
    <t>GPR17</t>
  </si>
  <si>
    <t>GPR18</t>
  </si>
  <si>
    <t>GPR19</t>
  </si>
  <si>
    <t>Total de REPs Avaliados (GPR)</t>
  </si>
  <si>
    <t>Total de Reps Atendidos (GPR)</t>
  </si>
  <si>
    <t>Total de REPs que Não Atendem (GPR)</t>
  </si>
  <si>
    <t>Aderência Geral (GPR)</t>
  </si>
  <si>
    <t xml:space="preserve">Engenharia de Requisitos - REQ </t>
  </si>
  <si>
    <t>REQ1</t>
  </si>
  <si>
    <t>REQ2</t>
  </si>
  <si>
    <t>REQ3</t>
  </si>
  <si>
    <t>REQ4</t>
  </si>
  <si>
    <t>REQ5</t>
  </si>
  <si>
    <t>Total de REPs Avaliados (REQ)</t>
  </si>
  <si>
    <t>Total de Reps Atendidos (REQ)</t>
  </si>
  <si>
    <t>Total de REPs que Não Atendem (REQ)</t>
  </si>
  <si>
    <t>Aderência Geral (REQ)</t>
  </si>
  <si>
    <t xml:space="preserve">Projeto e Construção do Produto -  PCP </t>
  </si>
  <si>
    <t>PCP1</t>
  </si>
  <si>
    <t>PCP2</t>
  </si>
  <si>
    <t>PCP3</t>
  </si>
  <si>
    <t>Total de REPs Avaliados (PCP)</t>
  </si>
  <si>
    <t>Total de Reps Atendidos (PCP)</t>
  </si>
  <si>
    <t>Total de REPs que Não Atendem (PCP)</t>
  </si>
  <si>
    <t>Aderência Geral (PCP)</t>
  </si>
  <si>
    <t xml:space="preserve">Integração do Produto - ITP </t>
  </si>
  <si>
    <t>ITP1</t>
  </si>
  <si>
    <t>ITP2</t>
  </si>
  <si>
    <t>ITP3</t>
  </si>
  <si>
    <t>ITP4</t>
  </si>
  <si>
    <t>ITP5</t>
  </si>
  <si>
    <t>ITP6</t>
  </si>
  <si>
    <t>Total de REPs Avaliados (ITP)</t>
  </si>
  <si>
    <t>Total de Reps Atendidos (ITP)</t>
  </si>
  <si>
    <t>Total de REPs que Não Atendem (ITP)</t>
  </si>
  <si>
    <t>Aderência Geral (ITP)</t>
  </si>
  <si>
    <t xml:space="preserve">Verificação e Validação - VV </t>
  </si>
  <si>
    <t>VV1</t>
  </si>
  <si>
    <t>VV2</t>
  </si>
  <si>
    <t>VV3</t>
  </si>
  <si>
    <t>VV4</t>
  </si>
  <si>
    <t>Total de REPs Avaliados (VV)</t>
  </si>
  <si>
    <t>Total de Reps Atendidos (VV)</t>
  </si>
  <si>
    <t>Total de REPs que Não Atendem (VV)</t>
  </si>
  <si>
    <t>Aderência Geral (VV)</t>
  </si>
  <si>
    <t xml:space="preserve">Gerência de Configuração - GCO </t>
  </si>
  <si>
    <t>GCO2</t>
  </si>
  <si>
    <t>GCO3</t>
  </si>
  <si>
    <t>GCO4</t>
  </si>
  <si>
    <t>GCO5</t>
  </si>
  <si>
    <t>Total de REPs Avaliados (GCO)</t>
  </si>
  <si>
    <t>Total de Reps Atendidos (GCO)</t>
  </si>
  <si>
    <t>Total de REPs que Não Atendem (GCO)</t>
  </si>
  <si>
    <t>Aderência Geral (GCO)</t>
  </si>
  <si>
    <t xml:space="preserve">Aquisição - AQU </t>
  </si>
  <si>
    <t>AQU1</t>
  </si>
  <si>
    <t>AQU2</t>
  </si>
  <si>
    <t>AQU3</t>
  </si>
  <si>
    <t>AQU4</t>
  </si>
  <si>
    <t>Total de REPs Avaliados (AQU)</t>
  </si>
  <si>
    <t>Total de Reps Atendidos (AQU)</t>
  </si>
  <si>
    <t>Total de REPs que Não Atendem (AQU)</t>
  </si>
  <si>
    <t>Aderência Geral (AQU)</t>
  </si>
  <si>
    <t xml:space="preserve">Medição - MED </t>
  </si>
  <si>
    <t>MED1</t>
  </si>
  <si>
    <t>MED2</t>
  </si>
  <si>
    <t>MED3</t>
  </si>
  <si>
    <t>MED4</t>
  </si>
  <si>
    <t>MED5</t>
  </si>
  <si>
    <t>Total de REPs Avaliados (MED)</t>
  </si>
  <si>
    <t>Total de Reps Atendidos (MED)</t>
  </si>
  <si>
    <t>Total de REPs que Não Atendem (MED)</t>
  </si>
  <si>
    <t>Aderência Geral (MED)</t>
  </si>
  <si>
    <t xml:space="preserve">Gerência de Decisões - GDE </t>
  </si>
  <si>
    <t>GDE1</t>
  </si>
  <si>
    <t>GDE2</t>
  </si>
  <si>
    <t>GDE3</t>
  </si>
  <si>
    <t>GDE4</t>
  </si>
  <si>
    <t>GDE5</t>
  </si>
  <si>
    <t>GDE6</t>
  </si>
  <si>
    <t>Total de REPs Avaliados (GDE)</t>
  </si>
  <si>
    <t>Total de Reps Atendidos (GDE)</t>
  </si>
  <si>
    <t>Total de REPs que Não Atendem (GDE)</t>
  </si>
  <si>
    <t>Aderência Geral (GDE)</t>
  </si>
  <si>
    <t xml:space="preserve">Capacitação - CAP </t>
  </si>
  <si>
    <t>CAP1</t>
  </si>
  <si>
    <t>CAP2</t>
  </si>
  <si>
    <t>Total de REPs Avaliados (CAP)</t>
  </si>
  <si>
    <t>Total de Reps Atendidos (CAP)</t>
  </si>
  <si>
    <t>Total de REPs que Não Atendem (CAP)</t>
  </si>
  <si>
    <t>Aderência Geral (CAP)</t>
  </si>
  <si>
    <t xml:space="preserve">Gerência de Processos - GPC </t>
  </si>
  <si>
    <t>GPC1</t>
  </si>
  <si>
    <t>GPC2</t>
  </si>
  <si>
    <t>GPC3</t>
  </si>
  <si>
    <t>GPC4</t>
  </si>
  <si>
    <t>GPC5</t>
  </si>
  <si>
    <t>Total de REPs Avaliados (GPC)</t>
  </si>
  <si>
    <t>Total de Reps Atendidos (GPC)</t>
  </si>
  <si>
    <t>Total de REPs que Não Atendem (GPC)</t>
  </si>
  <si>
    <t>Aderência Geral (GPC)</t>
  </si>
  <si>
    <t xml:space="preserve">Gerência Organizacional de Software - OSW </t>
  </si>
  <si>
    <t>OSW1</t>
  </si>
  <si>
    <t>OSW2</t>
  </si>
  <si>
    <t>OSW3</t>
  </si>
  <si>
    <t>OSW4</t>
  </si>
  <si>
    <t>OSW5</t>
  </si>
  <si>
    <t>Total de REPs Avaliados (OSW)</t>
  </si>
  <si>
    <t>Total de Reps Atendidos (OSW)</t>
  </si>
  <si>
    <t>Total de REPs que Não Atendem (OSW)</t>
  </si>
  <si>
    <t>Aderência Geral (OSW)</t>
  </si>
  <si>
    <t>Total de REPs Avaliados</t>
  </si>
  <si>
    <t>Total de Reps Atendidos</t>
  </si>
  <si>
    <t>Total de REPs que Não Atendem</t>
  </si>
  <si>
    <t>Aderência Geral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</si>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</sst>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365F9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9" fontId="0" fillId="0" borderId="1" xfId="1" quotePrefix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9" fontId="0" fillId="0" borderId="0" xfId="1" quotePrefix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GPR</a:t>
            </a:r>
          </a:p>
        </c:rich>
      </c:tx>
      <c:layout>
        <c:manualLayout>
          <c:xMode val="edge"/>
          <c:yMode val="edge"/>
          <c:x val="0.36504155730533683"/>
          <c:y val="3.055561913384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FA-435F-BC33-0243B868F5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FA-435F-BC33-0243B868F5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'Planejamento da Entrevista'!$B$22:$C$22</c:f>
              <c:strCache>
                <c:ptCount val="2"/>
                <c:pt idx="0">
                  <c:v>Total de Reps Atendidos (GPR)</c:v>
                </c:pt>
                <c:pt idx="1">
                  <c:v>Total de REPs que Não Atendem (GPR)</c:v>
                </c:pt>
              </c:strCache>
            </c:strRef>
          </c:cat>
          <c:val>
            <c:numRef>
              <c:f>'Planejamento da Entrevista'!$B$23:$C$23</c:f>
              <c:numCache>
                <c:formatCode>General</c:formatCode>
                <c:ptCount val="2"/>
                <c:pt idx="0">
                  <c:v>11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FE-4F70-B4AE-3EB343FE0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REQ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7-4C51-9554-F99F91D9D2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A7-4C51-9554-F99F91D9D282}"/>
              </c:ext>
            </c:extLst>
          </c:dPt>
          <c:cat>
            <c:strRef>
              <c:f>'Planejamento da Entrevista'!$B$32:$C$32</c:f>
              <c:strCache>
                <c:ptCount val="2"/>
                <c:pt idx="0">
                  <c:v>Total de Reps Atendidos (REQ)</c:v>
                </c:pt>
                <c:pt idx="1">
                  <c:v>Total de REPs que Não Atendem (REQ)</c:v>
                </c:pt>
              </c:strCache>
            </c:strRef>
          </c:cat>
          <c:val>
            <c:numRef>
              <c:f>'Planejamento da Entrevista'!$B$33:$C$33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8-42A1-BB93-E93980FF5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PCP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DD-4F9D-9CF5-E7BCE6BBAF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DD-4F9D-9CF5-E7BCE6BBAFF5}"/>
              </c:ext>
            </c:extLst>
          </c:dPt>
          <c:cat>
            <c:strRef>
              <c:f>'Planejamento da Entrevista'!$B$40:$C$40</c:f>
              <c:strCache>
                <c:ptCount val="2"/>
                <c:pt idx="0">
                  <c:v>Total de Reps Atendidos (PCP)</c:v>
                </c:pt>
                <c:pt idx="1">
                  <c:v>Total de REPs que Não Atendem (PCP)</c:v>
                </c:pt>
              </c:strCache>
            </c:strRef>
          </c:cat>
          <c:val>
            <c:numRef>
              <c:f>'Planejamento da Entrevista'!$B$41:$C$41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C1-49BC-ADAC-9134515F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VV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30-4321-A088-365E7A984D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30-4321-A088-365E7A984D8C}"/>
              </c:ext>
            </c:extLst>
          </c:dPt>
          <c:cat>
            <c:strRef>
              <c:f>'Planejamento da Entrevista'!$B$60:$C$60</c:f>
              <c:strCache>
                <c:ptCount val="2"/>
                <c:pt idx="0">
                  <c:v>Total de Reps Atendidos (VV)</c:v>
                </c:pt>
                <c:pt idx="1">
                  <c:v>Total de REPs que Não Atendem (VV)</c:v>
                </c:pt>
              </c:strCache>
            </c:strRef>
          </c:cat>
          <c:val>
            <c:numRef>
              <c:f>'Planejamento da Entrevista'!$B$61:$C$61</c:f>
              <c:numCache>
                <c:formatCode>General</c:formatCode>
                <c:ptCount val="2"/>
                <c:pt idx="0">
                  <c:v>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06-442F-9071-A98CC9108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GCO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A5-4765-8E1F-2DDD0D3817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A5-4765-8E1F-2DDD0D3817CD}"/>
              </c:ext>
            </c:extLst>
          </c:dPt>
          <c:cat>
            <c:strRef>
              <c:f>'Planejamento da Entrevista'!$B$70:$C$70</c:f>
              <c:strCache>
                <c:ptCount val="2"/>
                <c:pt idx="0">
                  <c:v>Total de Reps Atendidos (GCO)</c:v>
                </c:pt>
                <c:pt idx="1">
                  <c:v>Total de REPs que Não Atendem (GCO)</c:v>
                </c:pt>
              </c:strCache>
            </c:strRef>
          </c:cat>
          <c:val>
            <c:numRef>
              <c:f>'Planejamento da Entrevista'!$B$71:$C$71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CB-4238-BC7E-B10A6AA9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AQU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D7-4443-8C11-403B540BD6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D7-4443-8C11-403B540BD69F}"/>
              </c:ext>
            </c:extLst>
          </c:dPt>
          <c:cat>
            <c:strRef>
              <c:f>'Planejamento da Entrevista'!$B$79:$C$79</c:f>
              <c:strCache>
                <c:ptCount val="2"/>
                <c:pt idx="0">
                  <c:v>Total de Reps Atendidos (AQU)</c:v>
                </c:pt>
                <c:pt idx="1">
                  <c:v>Total de REPs que Não Atendem (AQU)</c:v>
                </c:pt>
              </c:strCache>
            </c:strRef>
          </c:cat>
          <c:val>
            <c:numRef>
              <c:f>'Planejamento da Entrevista'!$B$80:$C$80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60-488E-999F-F44BFE91E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43-4F0B-BFD1-8D651338F9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43-4F0B-BFD1-8D651338F9CF}"/>
              </c:ext>
            </c:extLst>
          </c:dPt>
          <c:cat>
            <c:strRef>
              <c:f>'Planejamento da Entrevista'!$B$89:$C$89</c:f>
              <c:strCache>
                <c:ptCount val="2"/>
                <c:pt idx="0">
                  <c:v>Total de Reps Atendidos (MED)</c:v>
                </c:pt>
                <c:pt idx="1">
                  <c:v>Total de REPs que Não Atendem (MED)</c:v>
                </c:pt>
              </c:strCache>
            </c:strRef>
          </c:cat>
          <c:val>
            <c:numRef>
              <c:f>'Planejamento da Entrevista'!$B$90:$C$90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AA-47FD-BB4A-80A3EF00C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GDE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B3-4E45-8B68-CBAD939121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B3-4E45-8B68-CBAD93912145}"/>
              </c:ext>
            </c:extLst>
          </c:dPt>
          <c:cat>
            <c:strRef>
              <c:f>'Planejamento da Entrevista'!$B$100:$C$100</c:f>
              <c:strCache>
                <c:ptCount val="2"/>
                <c:pt idx="0">
                  <c:v>Total de Reps Atendidos (GDE)</c:v>
                </c:pt>
                <c:pt idx="1">
                  <c:v>Total de REPs que Não Atendem (GDE)</c:v>
                </c:pt>
              </c:strCache>
            </c:strRef>
          </c:cat>
          <c:val>
            <c:numRef>
              <c:f>'Planejamento da Entrevista'!$B$101:$C$101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6-428E-8802-ADC5BA1E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CAP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B5-416A-8ABE-4BCB3BFEB0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B5-416A-8ABE-4BCB3BFEB0A5}"/>
              </c:ext>
            </c:extLst>
          </c:dPt>
          <c:cat>
            <c:strRef>
              <c:f>'Planejamento da Entrevista'!$B$107:$C$107</c:f>
              <c:strCache>
                <c:ptCount val="2"/>
                <c:pt idx="0">
                  <c:v>Total de Reps Atendidos (CAP)</c:v>
                </c:pt>
                <c:pt idx="1">
                  <c:v>Total de REPs que Não Atendem (CAP)</c:v>
                </c:pt>
              </c:strCache>
            </c:strRef>
          </c:cat>
          <c:val>
            <c:numRef>
              <c:f>'Planejamento da Entrevista'!$B$108:$C$108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BD-4F25-9F64-DCE265FAD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GPC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45-40AE-B9D2-6C87B88231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45-40AE-B9D2-6C87B882316E}"/>
              </c:ext>
            </c:extLst>
          </c:dPt>
          <c:cat>
            <c:strRef>
              <c:f>'Planejamento da Entrevista'!$B$117:$C$117</c:f>
              <c:strCache>
                <c:ptCount val="2"/>
                <c:pt idx="0">
                  <c:v>Total de Reps Atendidos (GPC)</c:v>
                </c:pt>
                <c:pt idx="1">
                  <c:v>Total de REPs que Não Atendem (GPC)</c:v>
                </c:pt>
              </c:strCache>
            </c:strRef>
          </c:cat>
          <c:val>
            <c:numRef>
              <c:f>'Planejamento da Entrevista'!$B$118:$C$118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3-43A9-98E6-59C15CD78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OSW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AD-4325-B884-DBEBB7E9E2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AD-4325-B884-DBEBB7E9E24E}"/>
              </c:ext>
            </c:extLst>
          </c:dPt>
          <c:cat>
            <c:strRef>
              <c:f>'Planejamento da Entrevista'!$B$127:$C$127</c:f>
              <c:strCache>
                <c:ptCount val="2"/>
                <c:pt idx="0">
                  <c:v>Total de Reps Atendidos (OSW)</c:v>
                </c:pt>
                <c:pt idx="1">
                  <c:v>Total de REPs que Não Atendem (OSW)</c:v>
                </c:pt>
              </c:strCache>
            </c:strRef>
          </c:cat>
          <c:val>
            <c:numRef>
              <c:f>'Planejamento da Entrevista'!$B$128:$C$128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99-4F59-8CFA-C2337D386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EB-47BD-BD3E-FF89C88D0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EB-47BD-BD3E-FF89C88D059A}"/>
              </c:ext>
            </c:extLst>
          </c:dPt>
          <c:cat>
            <c:strRef>
              <c:f>'Planejamento da Entrevista'!$B$133:$C$133</c:f>
              <c:strCache>
                <c:ptCount val="2"/>
                <c:pt idx="0">
                  <c:v>Total de Reps Atendidos</c:v>
                </c:pt>
                <c:pt idx="1">
                  <c:v>Total de REPs que Não Atendem</c:v>
                </c:pt>
              </c:strCache>
            </c:strRef>
          </c:cat>
          <c:val>
            <c:numRef>
              <c:f>'Planejamento da Entrevista'!$B$134:$C$134</c:f>
              <c:numCache>
                <c:formatCode>General</c:formatCode>
                <c:ptCount val="2"/>
                <c:pt idx="0">
                  <c:v>47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D-4CE2-B972-B97A5319D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Aderencia ITP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C-41BA-B60F-2DEF047C1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AC-41BA-B60F-2DEF047C11F3}"/>
              </c:ext>
            </c:extLst>
          </c:dPt>
          <c:cat>
            <c:strRef>
              <c:f>'Planejamento da Entrevista'!$B$51:$C$51</c:f>
              <c:strCache>
                <c:ptCount val="2"/>
                <c:pt idx="0">
                  <c:v>Total de Reps Atendidos (ITP)</c:v>
                </c:pt>
                <c:pt idx="1">
                  <c:v>Total de REPs que Não Atendem (ITP)</c:v>
                </c:pt>
              </c:strCache>
            </c:strRef>
          </c:cat>
          <c:val>
            <c:numRef>
              <c:f>'Planejamento da Entrevista'!$B$52:$C$52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44-4C68-B0F7-2E85F859A73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AC-41BA-B60F-2DEF047C1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AC-41BA-B60F-2DEF047C11F3}"/>
              </c:ext>
            </c:extLst>
          </c:dPt>
          <c:cat>
            <c:strRef>
              <c:f>'Planejamento da Entrevista'!$B$51:$C$51</c:f>
              <c:strCache>
                <c:ptCount val="2"/>
                <c:pt idx="0">
                  <c:v>Total de Reps Atendidos (ITP)</c:v>
                </c:pt>
                <c:pt idx="1">
                  <c:v>Total de REPs que Não Atendem (ITP)</c:v>
                </c:pt>
              </c:strCache>
            </c:strRef>
          </c:cat>
          <c:val>
            <c:numRef>
              <c:f>'Planejamento da Entrevista'!$B$53:$C$53</c:f>
              <c:numCache>
                <c:formatCode>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B744-4C68-B0F7-2E85F859A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11729</xdr:colOff>
      <xdr:row>1</xdr:row>
      <xdr:rowOff>9947</xdr:rowOff>
    </xdr:from>
    <xdr:to>
      <xdr:col>13</xdr:col>
      <xdr:colOff>11728</xdr:colOff>
      <xdr:row>16</xdr:row>
      <xdr:rowOff>4082</xdr:rowOff>
    </xdr:to>
    <xdr:graphicFrame macro="">
      <xdr:nvGraphicFramePr>
        <xdr:cNvPr id="54" name="Gráfico 5">
          <a:extLst>
            <a:ext uri="{FF2B5EF4-FFF2-40B4-BE49-F238E27FC236}">
              <a16:creationId xmlns:a16="http://schemas.microsoft.com/office/drawing/2014/main" id="{38C16A05-C2DD-887D-DFFB-3FA0CF009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17690</xdr:colOff>
      <xdr:row>18</xdr:row>
      <xdr:rowOff>16328</xdr:rowOff>
    </xdr:from>
    <xdr:to>
      <xdr:col>13</xdr:col>
      <xdr:colOff>17689</xdr:colOff>
      <xdr:row>33</xdr:row>
      <xdr:rowOff>35378</xdr:rowOff>
    </xdr:to>
    <xdr:graphicFrame macro="">
      <xdr:nvGraphicFramePr>
        <xdr:cNvPr id="52" name="Gráfico 6">
          <a:extLst>
            <a:ext uri="{FF2B5EF4-FFF2-40B4-BE49-F238E27FC236}">
              <a16:creationId xmlns:a16="http://schemas.microsoft.com/office/drawing/2014/main" id="{16F5717A-EB1C-C403-BD58-E961EE894BA7}"/>
            </a:ext>
            <a:ext uri="{147F2762-F138-4A5C-976F-8EAC2B608ADB}">
              <a16:predDERef xmlns:a16="http://schemas.microsoft.com/office/drawing/2014/main" pred="{38C16A05-C2DD-887D-DFFB-3FA0CF009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6804</xdr:colOff>
      <xdr:row>34</xdr:row>
      <xdr:rowOff>38100</xdr:rowOff>
    </xdr:from>
    <xdr:to>
      <xdr:col>13</xdr:col>
      <xdr:colOff>6803</xdr:colOff>
      <xdr:row>49</xdr:row>
      <xdr:rowOff>19050</xdr:rowOff>
    </xdr:to>
    <xdr:graphicFrame macro="">
      <xdr:nvGraphicFramePr>
        <xdr:cNvPr id="51" name="Gráfico 7">
          <a:extLst>
            <a:ext uri="{FF2B5EF4-FFF2-40B4-BE49-F238E27FC236}">
              <a16:creationId xmlns:a16="http://schemas.microsoft.com/office/drawing/2014/main" id="{8BFE5BE9-E512-D12F-37D0-23A5D0C0D3CF}"/>
            </a:ext>
            <a:ext uri="{147F2762-F138-4A5C-976F-8EAC2B608ADB}">
              <a16:predDERef xmlns:a16="http://schemas.microsoft.com/office/drawing/2014/main" pred="{16F5717A-EB1C-C403-BD58-E961EE894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567418</xdr:colOff>
      <xdr:row>50</xdr:row>
      <xdr:rowOff>161925</xdr:rowOff>
    </xdr:from>
    <xdr:to>
      <xdr:col>12</xdr:col>
      <xdr:colOff>567418</xdr:colOff>
      <xdr:row>65</xdr:row>
      <xdr:rowOff>133350</xdr:rowOff>
    </xdr:to>
    <xdr:graphicFrame macro="">
      <xdr:nvGraphicFramePr>
        <xdr:cNvPr id="50" name="Gráfico 8">
          <a:extLst>
            <a:ext uri="{FF2B5EF4-FFF2-40B4-BE49-F238E27FC236}">
              <a16:creationId xmlns:a16="http://schemas.microsoft.com/office/drawing/2014/main" id="{5D45B46C-F823-1C3C-1324-1B8F449AF6ED}"/>
            </a:ext>
            <a:ext uri="{147F2762-F138-4A5C-976F-8EAC2B608ADB}">
              <a16:predDERef xmlns:a16="http://schemas.microsoft.com/office/drawing/2014/main" pred="{8BFE5BE9-E512-D12F-37D0-23A5D0C0D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36740</xdr:colOff>
      <xdr:row>66</xdr:row>
      <xdr:rowOff>114300</xdr:rowOff>
    </xdr:from>
    <xdr:to>
      <xdr:col>13</xdr:col>
      <xdr:colOff>36739</xdr:colOff>
      <xdr:row>81</xdr:row>
      <xdr:rowOff>152400</xdr:rowOff>
    </xdr:to>
    <xdr:graphicFrame macro="">
      <xdr:nvGraphicFramePr>
        <xdr:cNvPr id="49" name="Gráfico 9">
          <a:extLst>
            <a:ext uri="{FF2B5EF4-FFF2-40B4-BE49-F238E27FC236}">
              <a16:creationId xmlns:a16="http://schemas.microsoft.com/office/drawing/2014/main" id="{3B3589B7-A7BC-BFEB-F0E1-19447879A292}"/>
            </a:ext>
            <a:ext uri="{147F2762-F138-4A5C-976F-8EAC2B608ADB}">
              <a16:predDERef xmlns:a16="http://schemas.microsoft.com/office/drawing/2014/main" pred="{5D45B46C-F823-1C3C-1324-1B8F449AF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19051</xdr:colOff>
      <xdr:row>83</xdr:row>
      <xdr:rowOff>6804</xdr:rowOff>
    </xdr:from>
    <xdr:to>
      <xdr:col>13</xdr:col>
      <xdr:colOff>19050</xdr:colOff>
      <xdr:row>98</xdr:row>
      <xdr:rowOff>6804</xdr:rowOff>
    </xdr:to>
    <xdr:graphicFrame macro="">
      <xdr:nvGraphicFramePr>
        <xdr:cNvPr id="48" name="Gráfico 10">
          <a:extLst>
            <a:ext uri="{FF2B5EF4-FFF2-40B4-BE49-F238E27FC236}">
              <a16:creationId xmlns:a16="http://schemas.microsoft.com/office/drawing/2014/main" id="{4044BCD6-99E6-F7BF-8E2A-152B0F3DF4E1}"/>
            </a:ext>
            <a:ext uri="{147F2762-F138-4A5C-976F-8EAC2B608ADB}">
              <a16:predDERef xmlns:a16="http://schemas.microsoft.com/office/drawing/2014/main" pred="{3B3589B7-A7BC-BFEB-F0E1-19447879A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6804</xdr:colOff>
      <xdr:row>99</xdr:row>
      <xdr:rowOff>35378</xdr:rowOff>
    </xdr:from>
    <xdr:to>
      <xdr:col>13</xdr:col>
      <xdr:colOff>6803</xdr:colOff>
      <xdr:row>114</xdr:row>
      <xdr:rowOff>6803</xdr:rowOff>
    </xdr:to>
    <xdr:graphicFrame macro="">
      <xdr:nvGraphicFramePr>
        <xdr:cNvPr id="47" name="Gráfico 11">
          <a:extLst>
            <a:ext uri="{FF2B5EF4-FFF2-40B4-BE49-F238E27FC236}">
              <a16:creationId xmlns:a16="http://schemas.microsoft.com/office/drawing/2014/main" id="{D0450EEC-3475-19CB-C9C1-917D4BF9D109}"/>
            </a:ext>
            <a:ext uri="{147F2762-F138-4A5C-976F-8EAC2B608ADB}">
              <a16:predDERef xmlns:a16="http://schemas.microsoft.com/office/drawing/2014/main" pred="{4044BCD6-99E6-F7BF-8E2A-152B0F3DF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17689</xdr:colOff>
      <xdr:row>116</xdr:row>
      <xdr:rowOff>14968</xdr:rowOff>
    </xdr:from>
    <xdr:to>
      <xdr:col>13</xdr:col>
      <xdr:colOff>17688</xdr:colOff>
      <xdr:row>130</xdr:row>
      <xdr:rowOff>180975</xdr:rowOff>
    </xdr:to>
    <xdr:graphicFrame macro="">
      <xdr:nvGraphicFramePr>
        <xdr:cNvPr id="53" name="Gráfico 12">
          <a:extLst>
            <a:ext uri="{FF2B5EF4-FFF2-40B4-BE49-F238E27FC236}">
              <a16:creationId xmlns:a16="http://schemas.microsoft.com/office/drawing/2014/main" id="{D8B5F083-5AE0-3AF0-26B5-651516E9E492}"/>
            </a:ext>
            <a:ext uri="{147F2762-F138-4A5C-976F-8EAC2B608ADB}">
              <a16:predDERef xmlns:a16="http://schemas.microsoft.com/office/drawing/2014/main" pred="{D0450EEC-3475-19CB-C9C1-917D4BF9D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552450</xdr:colOff>
      <xdr:row>83</xdr:row>
      <xdr:rowOff>123825</xdr:rowOff>
    </xdr:from>
    <xdr:to>
      <xdr:col>20</xdr:col>
      <xdr:colOff>238125</xdr:colOff>
      <xdr:row>98</xdr:row>
      <xdr:rowOff>28575</xdr:rowOff>
    </xdr:to>
    <xdr:graphicFrame macro="">
      <xdr:nvGraphicFramePr>
        <xdr:cNvPr id="60" name="Gráfico 13">
          <a:extLst>
            <a:ext uri="{FF2B5EF4-FFF2-40B4-BE49-F238E27FC236}">
              <a16:creationId xmlns:a16="http://schemas.microsoft.com/office/drawing/2014/main" id="{2256B59C-5745-3C73-7193-B4F83D59F1ED}"/>
            </a:ext>
            <a:ext uri="{147F2762-F138-4A5C-976F-8EAC2B608ADB}">
              <a16:predDERef xmlns:a16="http://schemas.microsoft.com/office/drawing/2014/main" pred="{D8B5F083-5AE0-3AF0-26B5-651516E9E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585107</xdr:colOff>
      <xdr:row>100</xdr:row>
      <xdr:rowOff>70757</xdr:rowOff>
    </xdr:from>
    <xdr:to>
      <xdr:col>21</xdr:col>
      <xdr:colOff>585108</xdr:colOff>
      <xdr:row>115</xdr:row>
      <xdr:rowOff>9525</xdr:rowOff>
    </xdr:to>
    <xdr:graphicFrame macro="">
      <xdr:nvGraphicFramePr>
        <xdr:cNvPr id="65" name="Gráfico 14">
          <a:extLst>
            <a:ext uri="{FF2B5EF4-FFF2-40B4-BE49-F238E27FC236}">
              <a16:creationId xmlns:a16="http://schemas.microsoft.com/office/drawing/2014/main" id="{4C07D60F-18F1-D20C-16CD-B2B88E563E4C}"/>
            </a:ext>
            <a:ext uri="{147F2762-F138-4A5C-976F-8EAC2B608ADB}">
              <a16:predDERef xmlns:a16="http://schemas.microsoft.com/office/drawing/2014/main" pred="{2256B59C-5745-3C73-7193-B4F83D59F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21771</xdr:colOff>
      <xdr:row>116</xdr:row>
      <xdr:rowOff>20411</xdr:rowOff>
    </xdr:from>
    <xdr:to>
      <xdr:col>22</xdr:col>
      <xdr:colOff>21771</xdr:colOff>
      <xdr:row>130</xdr:row>
      <xdr:rowOff>172811</xdr:rowOff>
    </xdr:to>
    <xdr:graphicFrame macro="">
      <xdr:nvGraphicFramePr>
        <xdr:cNvPr id="71" name="Gráfico 15">
          <a:extLst>
            <a:ext uri="{FF2B5EF4-FFF2-40B4-BE49-F238E27FC236}">
              <a16:creationId xmlns:a16="http://schemas.microsoft.com/office/drawing/2014/main" id="{5538EC27-BA9F-DDB5-8CC3-1BF6D669BEF3}"/>
            </a:ext>
            <a:ext uri="{147F2762-F138-4A5C-976F-8EAC2B608ADB}">
              <a16:predDERef xmlns:a16="http://schemas.microsoft.com/office/drawing/2014/main" pred="{4C07D60F-18F1-D20C-16CD-B2B88E563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132</xdr:row>
      <xdr:rowOff>29936</xdr:rowOff>
    </xdr:from>
    <xdr:to>
      <xdr:col>12</xdr:col>
      <xdr:colOff>522514</xdr:colOff>
      <xdr:row>146</xdr:row>
      <xdr:rowOff>108857</xdr:rowOff>
    </xdr:to>
    <xdr:graphicFrame macro="">
      <xdr:nvGraphicFramePr>
        <xdr:cNvPr id="46" name="Gráfico 36">
          <a:extLst>
            <a:ext uri="{FF2B5EF4-FFF2-40B4-BE49-F238E27FC236}">
              <a16:creationId xmlns:a16="http://schemas.microsoft.com/office/drawing/2014/main" id="{6C87CBF4-C0A0-DF78-4669-490F9DDC60CA}"/>
            </a:ext>
            <a:ext uri="{147F2762-F138-4A5C-976F-8EAC2B608ADB}">
              <a16:predDERef xmlns:a16="http://schemas.microsoft.com/office/drawing/2014/main" pred="{5538EC27-BA9F-DDB5-8CC3-1BF6D669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238125</xdr:colOff>
      <xdr:row>34</xdr:row>
      <xdr:rowOff>38100</xdr:rowOff>
    </xdr:from>
    <xdr:to>
      <xdr:col>19</xdr:col>
      <xdr:colOff>133350</xdr:colOff>
      <xdr:row>48</xdr:row>
      <xdr:rowOff>123825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9277869E-4DD7-CA41-FAC9-97BFC47E927D}"/>
            </a:ext>
            <a:ext uri="{147F2762-F138-4A5C-976F-8EAC2B608ADB}">
              <a16:predDERef xmlns:a16="http://schemas.microsoft.com/office/drawing/2014/main" pred="{6C87CBF4-C0A0-DF78-4669-490F9DDC6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E830-7F7C-41D2-A9BA-6FF81A5547EE}">
  <dimension ref="A1:T162"/>
  <sheetViews>
    <sheetView tabSelected="1" topLeftCell="C44" zoomScale="130" zoomScaleNormal="130" workbookViewId="0">
      <selection activeCell="C56" sqref="C56:C59"/>
    </sheetView>
  </sheetViews>
  <sheetFormatPr defaultColWidth="8.5703125" defaultRowHeight="15" x14ac:dyDescent="0.25"/>
  <cols>
    <col min="1" max="1" width="38.7109375" style="2" customWidth="1"/>
    <col min="2" max="2" width="28.7109375" style="2" customWidth="1"/>
    <col min="3" max="3" width="34.7109375" style="1" customWidth="1"/>
    <col min="4" max="4" width="23.28515625" customWidth="1"/>
    <col min="17" max="17" width="27.28515625" bestFit="1" customWidth="1"/>
    <col min="20" max="20" width="20.42578125" bestFit="1" customWidth="1"/>
  </cols>
  <sheetData>
    <row r="1" spans="1:20" ht="34.9" customHeight="1" x14ac:dyDescent="0.25">
      <c r="A1" s="14" t="s">
        <v>0</v>
      </c>
      <c r="B1" s="14"/>
      <c r="C1" s="15"/>
    </row>
    <row r="2" spans="1:20" s="4" customFormat="1" ht="18" customHeight="1" x14ac:dyDescent="0.25">
      <c r="A2" s="7" t="s">
        <v>1</v>
      </c>
      <c r="B2" s="7" t="s">
        <v>2</v>
      </c>
      <c r="C2" s="7" t="s">
        <v>3</v>
      </c>
    </row>
    <row r="3" spans="1:20" x14ac:dyDescent="0.25">
      <c r="A3" s="3" t="s">
        <v>4</v>
      </c>
      <c r="B3" s="3" t="s">
        <v>5</v>
      </c>
      <c r="C3" s="3" t="s">
        <v>6</v>
      </c>
    </row>
    <row r="4" spans="1:20" ht="13.9" customHeight="1" x14ac:dyDescent="0.25">
      <c r="A4" s="3" t="s">
        <v>4</v>
      </c>
      <c r="B4" s="3" t="s">
        <v>7</v>
      </c>
      <c r="C4" s="3" t="s">
        <v>6</v>
      </c>
      <c r="D4" s="13" t="s">
        <v>8</v>
      </c>
    </row>
    <row r="5" spans="1:20" x14ac:dyDescent="0.25">
      <c r="A5" s="3" t="s">
        <v>4</v>
      </c>
      <c r="B5" s="3" t="s">
        <v>9</v>
      </c>
      <c r="C5" s="3" t="s">
        <v>10</v>
      </c>
    </row>
    <row r="6" spans="1:20" x14ac:dyDescent="0.25">
      <c r="A6" s="3" t="s">
        <v>4</v>
      </c>
      <c r="B6" s="3" t="s">
        <v>11</v>
      </c>
      <c r="C6" s="3" t="s">
        <v>10</v>
      </c>
    </row>
    <row r="7" spans="1:20" x14ac:dyDescent="0.25">
      <c r="A7" s="3" t="s">
        <v>4</v>
      </c>
      <c r="B7" s="3" t="s">
        <v>12</v>
      </c>
      <c r="C7" s="3" t="s">
        <v>6</v>
      </c>
    </row>
    <row r="8" spans="1:20" x14ac:dyDescent="0.25">
      <c r="A8" s="3" t="s">
        <v>4</v>
      </c>
      <c r="B8" s="3" t="s">
        <v>13</v>
      </c>
      <c r="C8" s="3" t="s">
        <v>6</v>
      </c>
    </row>
    <row r="9" spans="1:20" x14ac:dyDescent="0.25">
      <c r="A9" s="3" t="s">
        <v>4</v>
      </c>
      <c r="B9" s="3" t="s">
        <v>14</v>
      </c>
      <c r="C9" s="3" t="s">
        <v>10</v>
      </c>
    </row>
    <row r="10" spans="1:20" x14ac:dyDescent="0.25">
      <c r="A10" s="3" t="s">
        <v>4</v>
      </c>
      <c r="B10" s="3" t="s">
        <v>15</v>
      </c>
      <c r="C10" s="3" t="s">
        <v>10</v>
      </c>
    </row>
    <row r="11" spans="1:20" x14ac:dyDescent="0.25">
      <c r="A11" s="3" t="s">
        <v>4</v>
      </c>
      <c r="B11" s="3" t="s">
        <v>16</v>
      </c>
      <c r="C11" s="3" t="s">
        <v>6</v>
      </c>
    </row>
    <row r="12" spans="1:20" x14ac:dyDescent="0.25">
      <c r="A12" s="3" t="s">
        <v>4</v>
      </c>
      <c r="B12" s="3" t="s">
        <v>17</v>
      </c>
      <c r="C12" s="3" t="s">
        <v>10</v>
      </c>
    </row>
    <row r="13" spans="1:20" x14ac:dyDescent="0.25">
      <c r="A13" s="3" t="s">
        <v>4</v>
      </c>
      <c r="B13" s="3" t="s">
        <v>18</v>
      </c>
      <c r="C13" s="3" t="s">
        <v>10</v>
      </c>
    </row>
    <row r="14" spans="1:20" x14ac:dyDescent="0.25">
      <c r="A14" s="3" t="s">
        <v>4</v>
      </c>
      <c r="B14" s="3" t="s">
        <v>19</v>
      </c>
      <c r="C14" s="3" t="s">
        <v>6</v>
      </c>
    </row>
    <row r="15" spans="1:20" x14ac:dyDescent="0.25">
      <c r="A15" s="3" t="s">
        <v>4</v>
      </c>
      <c r="B15" s="3" t="s">
        <v>20</v>
      </c>
      <c r="C15" s="3" t="s">
        <v>6</v>
      </c>
    </row>
    <row r="16" spans="1:20" x14ac:dyDescent="0.25">
      <c r="A16" s="3" t="s">
        <v>4</v>
      </c>
      <c r="B16" s="3" t="s">
        <v>21</v>
      </c>
      <c r="C16" s="3" t="s">
        <v>6</v>
      </c>
      <c r="T16" s="12" t="b">
        <v>0</v>
      </c>
    </row>
    <row r="17" spans="1:4" x14ac:dyDescent="0.25">
      <c r="A17" s="3" t="s">
        <v>4</v>
      </c>
      <c r="B17" s="3" t="s">
        <v>22</v>
      </c>
      <c r="C17" s="3" t="s">
        <v>6</v>
      </c>
    </row>
    <row r="18" spans="1:4" x14ac:dyDescent="0.25">
      <c r="A18" s="3" t="s">
        <v>4</v>
      </c>
      <c r="B18" s="3" t="s">
        <v>23</v>
      </c>
      <c r="C18" s="3" t="s">
        <v>10</v>
      </c>
    </row>
    <row r="19" spans="1:4" x14ac:dyDescent="0.25">
      <c r="A19" s="3" t="s">
        <v>4</v>
      </c>
      <c r="B19" s="3" t="s">
        <v>24</v>
      </c>
      <c r="C19" s="3" t="s">
        <v>10</v>
      </c>
    </row>
    <row r="20" spans="1:4" x14ac:dyDescent="0.25">
      <c r="A20" s="3" t="s">
        <v>4</v>
      </c>
      <c r="B20" s="3" t="s">
        <v>25</v>
      </c>
      <c r="C20" s="3" t="s">
        <v>6</v>
      </c>
    </row>
    <row r="21" spans="1:4" x14ac:dyDescent="0.25">
      <c r="A21" s="3" t="s">
        <v>4</v>
      </c>
      <c r="B21" s="3" t="s">
        <v>26</v>
      </c>
      <c r="C21" s="3" t="s">
        <v>6</v>
      </c>
    </row>
    <row r="22" spans="1:4" x14ac:dyDescent="0.25">
      <c r="A22" s="5" t="s">
        <v>27</v>
      </c>
      <c r="B22" s="5" t="s">
        <v>28</v>
      </c>
      <c r="C22" s="5" t="s">
        <v>29</v>
      </c>
      <c r="D22" s="5" t="s">
        <v>30</v>
      </c>
    </row>
    <row r="23" spans="1:4" x14ac:dyDescent="0.25">
      <c r="A23" s="3">
        <f>SUM(B23,C23)</f>
        <v>19</v>
      </c>
      <c r="B23" s="3">
        <f>COUNTIFS($C$3:$C$21, "Atende*")</f>
        <v>11</v>
      </c>
      <c r="C23" s="3">
        <f>COUNTIFS($C$3:$C$21, "Não atende*")</f>
        <v>8</v>
      </c>
      <c r="D23" s="6">
        <f>(B23/A23)</f>
        <v>0.57894736842105265</v>
      </c>
    </row>
    <row r="24" spans="1:4" x14ac:dyDescent="0.25">
      <c r="A24" s="11"/>
      <c r="B24" s="11"/>
      <c r="C24" s="11"/>
      <c r="D24" s="8"/>
    </row>
    <row r="25" spans="1:4" x14ac:dyDescent="0.25">
      <c r="A25"/>
      <c r="B25"/>
      <c r="C25"/>
    </row>
    <row r="26" spans="1:4" ht="15.75" x14ac:dyDescent="0.25">
      <c r="A26" s="7" t="s">
        <v>1</v>
      </c>
      <c r="B26" s="7" t="s">
        <v>2</v>
      </c>
      <c r="C26" s="7" t="s">
        <v>3</v>
      </c>
    </row>
    <row r="27" spans="1:4" x14ac:dyDescent="0.25">
      <c r="A27" s="3" t="s">
        <v>31</v>
      </c>
      <c r="B27" s="3" t="s">
        <v>32</v>
      </c>
      <c r="C27" s="3" t="s">
        <v>6</v>
      </c>
    </row>
    <row r="28" spans="1:4" x14ac:dyDescent="0.25">
      <c r="A28" s="3" t="s">
        <v>31</v>
      </c>
      <c r="B28" s="3" t="s">
        <v>33</v>
      </c>
      <c r="C28" s="3" t="s">
        <v>6</v>
      </c>
    </row>
    <row r="29" spans="1:4" x14ac:dyDescent="0.25">
      <c r="A29" s="3" t="s">
        <v>31</v>
      </c>
      <c r="B29" s="3" t="s">
        <v>34</v>
      </c>
      <c r="C29" s="3" t="s">
        <v>6</v>
      </c>
    </row>
    <row r="30" spans="1:4" x14ac:dyDescent="0.25">
      <c r="A30" s="3" t="s">
        <v>31</v>
      </c>
      <c r="B30" s="3" t="s">
        <v>35</v>
      </c>
      <c r="C30" s="3" t="s">
        <v>6</v>
      </c>
    </row>
    <row r="31" spans="1:4" x14ac:dyDescent="0.25">
      <c r="A31" s="3" t="s">
        <v>31</v>
      </c>
      <c r="B31" s="3" t="s">
        <v>36</v>
      </c>
      <c r="C31" s="3" t="s">
        <v>6</v>
      </c>
    </row>
    <row r="32" spans="1:4" x14ac:dyDescent="0.25">
      <c r="A32" s="5" t="s">
        <v>37</v>
      </c>
      <c r="B32" s="5" t="s">
        <v>38</v>
      </c>
      <c r="C32" s="5" t="s">
        <v>39</v>
      </c>
      <c r="D32" s="5" t="s">
        <v>40</v>
      </c>
    </row>
    <row r="33" spans="1:4" x14ac:dyDescent="0.25">
      <c r="A33" s="3">
        <f>SUM(B33,C33)</f>
        <v>5</v>
      </c>
      <c r="B33" s="3">
        <f>COUNTIFS($C$27:$C$31, "Atende*")</f>
        <v>5</v>
      </c>
      <c r="C33" s="3">
        <f>COUNTIFS($C$27:$C$31, "Não atende*")</f>
        <v>0</v>
      </c>
      <c r="D33" s="6">
        <f>(B33/A33)</f>
        <v>1</v>
      </c>
    </row>
    <row r="34" spans="1:4" x14ac:dyDescent="0.25">
      <c r="A34" s="11"/>
      <c r="B34" s="11"/>
      <c r="C34" s="11"/>
      <c r="D34" s="8"/>
    </row>
    <row r="35" spans="1:4" x14ac:dyDescent="0.25">
      <c r="A35"/>
      <c r="B35"/>
      <c r="C35"/>
    </row>
    <row r="36" spans="1:4" ht="15.75" x14ac:dyDescent="0.25">
      <c r="A36" s="7" t="s">
        <v>1</v>
      </c>
      <c r="B36" s="7" t="s">
        <v>2</v>
      </c>
      <c r="C36" s="7" t="s">
        <v>3</v>
      </c>
    </row>
    <row r="37" spans="1:4" x14ac:dyDescent="0.25">
      <c r="A37" s="3" t="s">
        <v>41</v>
      </c>
      <c r="B37" s="3" t="s">
        <v>42</v>
      </c>
      <c r="C37" s="3" t="s">
        <v>10</v>
      </c>
    </row>
    <row r="38" spans="1:4" x14ac:dyDescent="0.25">
      <c r="A38" s="3" t="s">
        <v>41</v>
      </c>
      <c r="B38" s="3" t="s">
        <v>43</v>
      </c>
      <c r="C38" s="3" t="s">
        <v>6</v>
      </c>
    </row>
    <row r="39" spans="1:4" x14ac:dyDescent="0.25">
      <c r="A39" s="3" t="s">
        <v>41</v>
      </c>
      <c r="B39" s="3" t="s">
        <v>44</v>
      </c>
      <c r="C39" s="3" t="s">
        <v>6</v>
      </c>
    </row>
    <row r="40" spans="1:4" x14ac:dyDescent="0.25">
      <c r="A40" s="5" t="s">
        <v>45</v>
      </c>
      <c r="B40" s="5" t="s">
        <v>46</v>
      </c>
      <c r="C40" s="5" t="s">
        <v>47</v>
      </c>
      <c r="D40" s="5" t="s">
        <v>48</v>
      </c>
    </row>
    <row r="41" spans="1:4" x14ac:dyDescent="0.25">
      <c r="A41" s="3">
        <f>SUM(B41,C41)</f>
        <v>3</v>
      </c>
      <c r="B41" s="3">
        <f>COUNTIFS($C$37:$C$39, "Atende*")</f>
        <v>2</v>
      </c>
      <c r="C41" s="3">
        <f>COUNTIFS($C$37:$C$39, "Não atende*")</f>
        <v>1</v>
      </c>
      <c r="D41" s="9">
        <f>(B41/A41)</f>
        <v>0.66666666666666663</v>
      </c>
    </row>
    <row r="42" spans="1:4" x14ac:dyDescent="0.25">
      <c r="A42" s="11"/>
      <c r="B42" s="11"/>
      <c r="C42" s="11"/>
      <c r="D42" s="10"/>
    </row>
    <row r="43" spans="1:4" x14ac:dyDescent="0.25">
      <c r="A43"/>
      <c r="B43"/>
      <c r="C43"/>
    </row>
    <row r="44" spans="1:4" ht="15.75" x14ac:dyDescent="0.25">
      <c r="A44" s="7" t="s">
        <v>1</v>
      </c>
      <c r="B44" s="7" t="s">
        <v>2</v>
      </c>
      <c r="C44" s="7" t="s">
        <v>3</v>
      </c>
    </row>
    <row r="45" spans="1:4" x14ac:dyDescent="0.25">
      <c r="A45" s="3" t="s">
        <v>49</v>
      </c>
      <c r="B45" s="3" t="s">
        <v>50</v>
      </c>
      <c r="C45" s="3" t="s">
        <v>10</v>
      </c>
    </row>
    <row r="46" spans="1:4" x14ac:dyDescent="0.25">
      <c r="A46" s="3" t="s">
        <v>49</v>
      </c>
      <c r="B46" s="3" t="s">
        <v>51</v>
      </c>
      <c r="C46" s="3" t="s">
        <v>6</v>
      </c>
    </row>
    <row r="47" spans="1:4" x14ac:dyDescent="0.25">
      <c r="A47" s="3" t="s">
        <v>49</v>
      </c>
      <c r="B47" s="3" t="s">
        <v>52</v>
      </c>
      <c r="C47" s="3" t="s">
        <v>10</v>
      </c>
    </row>
    <row r="48" spans="1:4" x14ac:dyDescent="0.25">
      <c r="A48" s="3" t="s">
        <v>49</v>
      </c>
      <c r="B48" s="3" t="s">
        <v>53</v>
      </c>
      <c r="C48" s="3" t="s">
        <v>10</v>
      </c>
    </row>
    <row r="49" spans="1:4" x14ac:dyDescent="0.25">
      <c r="A49" s="3" t="s">
        <v>49</v>
      </c>
      <c r="B49" s="3" t="s">
        <v>54</v>
      </c>
      <c r="C49" s="3" t="s">
        <v>10</v>
      </c>
    </row>
    <row r="50" spans="1:4" x14ac:dyDescent="0.25">
      <c r="A50" s="3" t="s">
        <v>49</v>
      </c>
      <c r="B50" s="3" t="s">
        <v>55</v>
      </c>
      <c r="C50" s="3" t="s">
        <v>6</v>
      </c>
    </row>
    <row r="51" spans="1:4" x14ac:dyDescent="0.25">
      <c r="A51" s="5" t="s">
        <v>56</v>
      </c>
      <c r="B51" s="5" t="s">
        <v>57</v>
      </c>
      <c r="C51" s="5" t="s">
        <v>58</v>
      </c>
      <c r="D51" s="5" t="s">
        <v>59</v>
      </c>
    </row>
    <row r="52" spans="1:4" x14ac:dyDescent="0.25">
      <c r="A52" s="3">
        <f>SUM(B52,C52)</f>
        <v>6</v>
      </c>
      <c r="B52" s="3">
        <f>COUNTIFS($C$45:$C$50, "Atende*")</f>
        <v>2</v>
      </c>
      <c r="C52" s="3">
        <f>COUNTIFS($C$45:$C$50, "Não atende*")</f>
        <v>4</v>
      </c>
      <c r="D52" s="9">
        <f>(B52/A52)</f>
        <v>0.33333333333333331</v>
      </c>
    </row>
    <row r="53" spans="1:4" x14ac:dyDescent="0.25">
      <c r="A53" s="11"/>
      <c r="B53" s="11"/>
      <c r="C53" s="11"/>
      <c r="D53" s="10"/>
    </row>
    <row r="54" spans="1:4" x14ac:dyDescent="0.25">
      <c r="A54"/>
      <c r="B54"/>
      <c r="C54"/>
    </row>
    <row r="55" spans="1:4" ht="15.75" x14ac:dyDescent="0.25">
      <c r="A55" s="7" t="s">
        <v>1</v>
      </c>
      <c r="B55" s="7" t="s">
        <v>2</v>
      </c>
      <c r="C55" s="7" t="s">
        <v>3</v>
      </c>
    </row>
    <row r="56" spans="1:4" x14ac:dyDescent="0.25">
      <c r="A56" s="3" t="s">
        <v>60</v>
      </c>
      <c r="B56" s="3" t="s">
        <v>61</v>
      </c>
      <c r="C56" s="3" t="s">
        <v>6</v>
      </c>
    </row>
    <row r="57" spans="1:4" x14ac:dyDescent="0.25">
      <c r="A57" s="3" t="s">
        <v>60</v>
      </c>
      <c r="B57" s="3" t="s">
        <v>62</v>
      </c>
      <c r="C57" s="3" t="s">
        <v>6</v>
      </c>
    </row>
    <row r="58" spans="1:4" x14ac:dyDescent="0.25">
      <c r="A58" s="3" t="s">
        <v>60</v>
      </c>
      <c r="B58" s="3" t="s">
        <v>63</v>
      </c>
      <c r="C58" s="3" t="s">
        <v>6</v>
      </c>
    </row>
    <row r="59" spans="1:4" x14ac:dyDescent="0.25">
      <c r="A59" s="3" t="s">
        <v>60</v>
      </c>
      <c r="B59" s="3" t="s">
        <v>64</v>
      </c>
      <c r="C59" s="3" t="s">
        <v>6</v>
      </c>
    </row>
    <row r="60" spans="1:4" x14ac:dyDescent="0.25">
      <c r="A60" s="5" t="s">
        <v>65</v>
      </c>
      <c r="B60" s="5" t="s">
        <v>66</v>
      </c>
      <c r="C60" s="5" t="s">
        <v>67</v>
      </c>
      <c r="D60" s="5" t="s">
        <v>68</v>
      </c>
    </row>
    <row r="61" spans="1:4" x14ac:dyDescent="0.25">
      <c r="A61" s="3">
        <f>SUM(B61,C61)</f>
        <v>4</v>
      </c>
      <c r="B61" s="3">
        <f>COUNTIFS($C$56:$C$60, "Atende*")</f>
        <v>4</v>
      </c>
      <c r="C61" s="3">
        <f>COUNTIFS($C$56:$C$60, "Não atende*")</f>
        <v>0</v>
      </c>
      <c r="D61" s="9">
        <f>(B61/A61)</f>
        <v>1</v>
      </c>
    </row>
    <row r="62" spans="1:4" x14ac:dyDescent="0.25">
      <c r="A62"/>
      <c r="B62"/>
      <c r="C62"/>
    </row>
    <row r="63" spans="1:4" x14ac:dyDescent="0.25">
      <c r="A63"/>
      <c r="B63"/>
      <c r="C63"/>
    </row>
    <row r="64" spans="1:4" ht="15.75" x14ac:dyDescent="0.25">
      <c r="A64" s="7" t="s">
        <v>1</v>
      </c>
      <c r="B64" s="7" t="s">
        <v>2</v>
      </c>
      <c r="C64" s="7" t="s">
        <v>3</v>
      </c>
    </row>
    <row r="65" spans="1:4" x14ac:dyDescent="0.25">
      <c r="A65" s="3" t="s">
        <v>69</v>
      </c>
      <c r="B65" s="3" t="s">
        <v>139</v>
      </c>
      <c r="C65" s="3" t="s">
        <v>10</v>
      </c>
    </row>
    <row r="66" spans="1:4" x14ac:dyDescent="0.25">
      <c r="A66" s="3" t="s">
        <v>69</v>
      </c>
      <c r="B66" s="3" t="s">
        <v>70</v>
      </c>
      <c r="C66" s="3" t="s">
        <v>6</v>
      </c>
    </row>
    <row r="67" spans="1:4" x14ac:dyDescent="0.25">
      <c r="A67" s="3" t="s">
        <v>69</v>
      </c>
      <c r="B67" s="3" t="s">
        <v>71</v>
      </c>
      <c r="C67" s="3" t="s">
        <v>10</v>
      </c>
    </row>
    <row r="68" spans="1:4" x14ac:dyDescent="0.25">
      <c r="A68" s="3" t="s">
        <v>69</v>
      </c>
      <c r="B68" s="3" t="s">
        <v>72</v>
      </c>
      <c r="C68" s="3" t="s">
        <v>6</v>
      </c>
    </row>
    <row r="69" spans="1:4" x14ac:dyDescent="0.25">
      <c r="A69" s="3" t="s">
        <v>69</v>
      </c>
      <c r="B69" s="3" t="s">
        <v>73</v>
      </c>
      <c r="C69" s="3" t="s">
        <v>10</v>
      </c>
    </row>
    <row r="70" spans="1:4" x14ac:dyDescent="0.25">
      <c r="A70" s="5" t="s">
        <v>74</v>
      </c>
      <c r="B70" s="5" t="s">
        <v>75</v>
      </c>
      <c r="C70" s="5" t="s">
        <v>76</v>
      </c>
      <c r="D70" s="5" t="s">
        <v>77</v>
      </c>
    </row>
    <row r="71" spans="1:4" x14ac:dyDescent="0.25">
      <c r="A71" s="3">
        <f>SUM(B71,C71)</f>
        <v>5</v>
      </c>
      <c r="B71" s="3">
        <f>COUNTIFS($C$65:$C$69, "Atende*")</f>
        <v>2</v>
      </c>
      <c r="C71" s="3">
        <f>COUNTIFS($C$65:$C$69, "Não atende*")</f>
        <v>3</v>
      </c>
      <c r="D71" s="9">
        <f>(B71/A71)</f>
        <v>0.4</v>
      </c>
    </row>
    <row r="72" spans="1:4" x14ac:dyDescent="0.25">
      <c r="A72"/>
      <c r="B72"/>
      <c r="C72"/>
    </row>
    <row r="73" spans="1:4" x14ac:dyDescent="0.25">
      <c r="A73"/>
      <c r="B73"/>
      <c r="C73"/>
    </row>
    <row r="74" spans="1:4" ht="15.75" x14ac:dyDescent="0.25">
      <c r="A74" s="7" t="s">
        <v>1</v>
      </c>
      <c r="B74" s="7" t="s">
        <v>2</v>
      </c>
      <c r="C74" s="7" t="s">
        <v>3</v>
      </c>
    </row>
    <row r="75" spans="1:4" x14ac:dyDescent="0.25">
      <c r="A75" s="3" t="s">
        <v>78</v>
      </c>
      <c r="B75" s="3" t="s">
        <v>79</v>
      </c>
      <c r="C75" s="3" t="s">
        <v>6</v>
      </c>
    </row>
    <row r="76" spans="1:4" x14ac:dyDescent="0.25">
      <c r="A76" s="3" t="s">
        <v>78</v>
      </c>
      <c r="B76" s="3" t="s">
        <v>80</v>
      </c>
      <c r="C76" s="3" t="s">
        <v>6</v>
      </c>
    </row>
    <row r="77" spans="1:4" x14ac:dyDescent="0.25">
      <c r="A77" s="3" t="s">
        <v>78</v>
      </c>
      <c r="B77" s="3" t="s">
        <v>81</v>
      </c>
      <c r="C77" s="3" t="s">
        <v>10</v>
      </c>
    </row>
    <row r="78" spans="1:4" ht="13.9" customHeight="1" x14ac:dyDescent="0.25">
      <c r="A78" s="3" t="s">
        <v>78</v>
      </c>
      <c r="B78" s="3" t="s">
        <v>82</v>
      </c>
      <c r="C78" s="3" t="s">
        <v>6</v>
      </c>
    </row>
    <row r="79" spans="1:4" ht="13.9" customHeight="1" x14ac:dyDescent="0.25">
      <c r="A79" s="5" t="s">
        <v>83</v>
      </c>
      <c r="B79" s="5" t="s">
        <v>84</v>
      </c>
      <c r="C79" s="5" t="s">
        <v>85</v>
      </c>
      <c r="D79" s="5" t="s">
        <v>86</v>
      </c>
    </row>
    <row r="80" spans="1:4" ht="13.9" customHeight="1" x14ac:dyDescent="0.25">
      <c r="A80" s="3">
        <f>SUM(B80,C80)</f>
        <v>4</v>
      </c>
      <c r="B80" s="3">
        <f>COUNTIFS($C$75:$C$78, "Atende*")</f>
        <v>3</v>
      </c>
      <c r="C80" s="3">
        <f>COUNTIFS($C$75:$C$78, "Não atende*")</f>
        <v>1</v>
      </c>
      <c r="D80" s="9">
        <f>(B80/A80)</f>
        <v>0.75</v>
      </c>
    </row>
    <row r="81" spans="1:4" ht="13.9" customHeight="1" x14ac:dyDescent="0.25">
      <c r="A81"/>
      <c r="B81"/>
      <c r="C81"/>
    </row>
    <row r="82" spans="1:4" ht="13.9" customHeight="1" x14ac:dyDescent="0.25">
      <c r="A82"/>
      <c r="B82"/>
      <c r="C82"/>
    </row>
    <row r="83" spans="1:4" ht="13.9" customHeight="1" x14ac:dyDescent="0.25">
      <c r="A83" s="7" t="s">
        <v>1</v>
      </c>
      <c r="B83" s="7" t="s">
        <v>2</v>
      </c>
      <c r="C83" s="7" t="s">
        <v>3</v>
      </c>
    </row>
    <row r="84" spans="1:4" x14ac:dyDescent="0.25">
      <c r="A84" s="3" t="s">
        <v>87</v>
      </c>
      <c r="B84" s="3" t="s">
        <v>88</v>
      </c>
      <c r="C84" s="3" t="s">
        <v>6</v>
      </c>
    </row>
    <row r="85" spans="1:4" x14ac:dyDescent="0.25">
      <c r="A85" s="3" t="s">
        <v>87</v>
      </c>
      <c r="B85" s="3" t="s">
        <v>89</v>
      </c>
      <c r="C85" s="3" t="s">
        <v>6</v>
      </c>
    </row>
    <row r="86" spans="1:4" x14ac:dyDescent="0.25">
      <c r="A86" s="3" t="s">
        <v>87</v>
      </c>
      <c r="B86" s="3" t="s">
        <v>90</v>
      </c>
      <c r="C86" s="3" t="s">
        <v>6</v>
      </c>
    </row>
    <row r="87" spans="1:4" x14ac:dyDescent="0.25">
      <c r="A87" s="3" t="s">
        <v>87</v>
      </c>
      <c r="B87" s="3" t="s">
        <v>91</v>
      </c>
      <c r="C87" s="3" t="s">
        <v>6</v>
      </c>
    </row>
    <row r="88" spans="1:4" x14ac:dyDescent="0.25">
      <c r="A88" s="3" t="s">
        <v>87</v>
      </c>
      <c r="B88" s="3" t="s">
        <v>92</v>
      </c>
      <c r="C88" s="3" t="s">
        <v>6</v>
      </c>
    </row>
    <row r="89" spans="1:4" x14ac:dyDescent="0.25">
      <c r="A89" s="5" t="s">
        <v>93</v>
      </c>
      <c r="B89" s="5" t="s">
        <v>94</v>
      </c>
      <c r="C89" s="5" t="s">
        <v>95</v>
      </c>
      <c r="D89" s="5" t="s">
        <v>96</v>
      </c>
    </row>
    <row r="90" spans="1:4" x14ac:dyDescent="0.25">
      <c r="A90" s="3">
        <f>SUM(B90,C90)</f>
        <v>5</v>
      </c>
      <c r="B90" s="3">
        <f>COUNTIFS($C$84:$C$88, "Atende*")</f>
        <v>5</v>
      </c>
      <c r="C90" s="3">
        <f>COUNTIFS($C$84:$C$88, "Não atende*")</f>
        <v>0</v>
      </c>
      <c r="D90" s="9">
        <f>(B90/A90)</f>
        <v>1</v>
      </c>
    </row>
    <row r="91" spans="1:4" x14ac:dyDescent="0.25">
      <c r="A91"/>
      <c r="B91"/>
      <c r="C91"/>
    </row>
    <row r="92" spans="1:4" x14ac:dyDescent="0.25">
      <c r="A92"/>
      <c r="B92"/>
      <c r="C92"/>
    </row>
    <row r="93" spans="1:4" ht="15.75" x14ac:dyDescent="0.25">
      <c r="A93" s="7" t="s">
        <v>1</v>
      </c>
      <c r="B93" s="7" t="s">
        <v>2</v>
      </c>
      <c r="C93" s="7" t="s">
        <v>3</v>
      </c>
    </row>
    <row r="94" spans="1:4" x14ac:dyDescent="0.25">
      <c r="A94" s="3" t="s">
        <v>97</v>
      </c>
      <c r="B94" s="3" t="s">
        <v>98</v>
      </c>
      <c r="C94" s="3" t="s">
        <v>10</v>
      </c>
    </row>
    <row r="95" spans="1:4" x14ac:dyDescent="0.25">
      <c r="A95" s="3" t="s">
        <v>97</v>
      </c>
      <c r="B95" s="3" t="s">
        <v>99</v>
      </c>
      <c r="C95" s="3" t="s">
        <v>6</v>
      </c>
    </row>
    <row r="96" spans="1:4" x14ac:dyDescent="0.25">
      <c r="A96" s="3" t="s">
        <v>97</v>
      </c>
      <c r="B96" s="3" t="s">
        <v>100</v>
      </c>
      <c r="C96" s="3" t="s">
        <v>6</v>
      </c>
    </row>
    <row r="97" spans="1:4" x14ac:dyDescent="0.25">
      <c r="A97" s="3" t="s">
        <v>97</v>
      </c>
      <c r="B97" s="3" t="s">
        <v>101</v>
      </c>
      <c r="C97" s="3" t="s">
        <v>10</v>
      </c>
    </row>
    <row r="98" spans="1:4" x14ac:dyDescent="0.25">
      <c r="A98" s="3" t="s">
        <v>97</v>
      </c>
      <c r="B98" s="3" t="s">
        <v>102</v>
      </c>
      <c r="C98" s="3" t="s">
        <v>6</v>
      </c>
    </row>
    <row r="99" spans="1:4" x14ac:dyDescent="0.25">
      <c r="A99" s="3" t="s">
        <v>97</v>
      </c>
      <c r="B99" s="3" t="s">
        <v>103</v>
      </c>
      <c r="C99" s="3" t="s">
        <v>10</v>
      </c>
    </row>
    <row r="100" spans="1:4" x14ac:dyDescent="0.25">
      <c r="A100" s="5" t="s">
        <v>104</v>
      </c>
      <c r="B100" s="5" t="s">
        <v>105</v>
      </c>
      <c r="C100" s="5" t="s">
        <v>106</v>
      </c>
      <c r="D100" s="5" t="s">
        <v>107</v>
      </c>
    </row>
    <row r="101" spans="1:4" x14ac:dyDescent="0.25">
      <c r="A101" s="3">
        <f>SUM(B101,C101)</f>
        <v>6</v>
      </c>
      <c r="B101" s="3">
        <v>3</v>
      </c>
      <c r="C101" s="3">
        <f>COUNTIFS($C$94:$C$99, "Não atende*")</f>
        <v>3</v>
      </c>
      <c r="D101" s="9">
        <f>(B101/A101)</f>
        <v>0.5</v>
      </c>
    </row>
    <row r="102" spans="1:4" x14ac:dyDescent="0.25">
      <c r="A102"/>
      <c r="B102"/>
      <c r="C102"/>
    </row>
    <row r="103" spans="1:4" x14ac:dyDescent="0.25">
      <c r="A103"/>
      <c r="B103"/>
      <c r="C103"/>
    </row>
    <row r="104" spans="1:4" ht="15.75" x14ac:dyDescent="0.25">
      <c r="A104" s="7" t="s">
        <v>1</v>
      </c>
      <c r="B104" s="7" t="s">
        <v>2</v>
      </c>
      <c r="C104" s="7" t="s">
        <v>3</v>
      </c>
    </row>
    <row r="105" spans="1:4" x14ac:dyDescent="0.25">
      <c r="A105" s="3" t="s">
        <v>108</v>
      </c>
      <c r="B105" s="3" t="s">
        <v>109</v>
      </c>
      <c r="C105" s="3" t="s">
        <v>6</v>
      </c>
    </row>
    <row r="106" spans="1:4" x14ac:dyDescent="0.25">
      <c r="A106" s="3" t="s">
        <v>108</v>
      </c>
      <c r="B106" s="3" t="s">
        <v>110</v>
      </c>
      <c r="C106" s="3" t="s">
        <v>6</v>
      </c>
    </row>
    <row r="107" spans="1:4" x14ac:dyDescent="0.25">
      <c r="A107" s="5" t="s">
        <v>111</v>
      </c>
      <c r="B107" s="5" t="s">
        <v>112</v>
      </c>
      <c r="C107" s="5" t="s">
        <v>113</v>
      </c>
      <c r="D107" s="5" t="s">
        <v>114</v>
      </c>
    </row>
    <row r="108" spans="1:4" x14ac:dyDescent="0.25">
      <c r="A108" s="3">
        <f>SUM(B108,C108)</f>
        <v>2</v>
      </c>
      <c r="B108" s="3">
        <f>COUNTIFS($C$105:$C$106, "Atende*")</f>
        <v>2</v>
      </c>
      <c r="C108" s="3">
        <f>COUNTIFS($C$105:$C$106, "Não atende*")</f>
        <v>0</v>
      </c>
      <c r="D108" s="9">
        <f>(B108/A108)</f>
        <v>1</v>
      </c>
    </row>
    <row r="109" spans="1:4" x14ac:dyDescent="0.25">
      <c r="A109"/>
      <c r="B109"/>
      <c r="C109"/>
    </row>
    <row r="110" spans="1:4" x14ac:dyDescent="0.25">
      <c r="A110"/>
      <c r="B110"/>
      <c r="C110"/>
    </row>
    <row r="111" spans="1:4" ht="15.75" x14ac:dyDescent="0.25">
      <c r="A111" s="7" t="s">
        <v>1</v>
      </c>
      <c r="B111" s="7" t="s">
        <v>2</v>
      </c>
      <c r="C111" s="7" t="s">
        <v>3</v>
      </c>
    </row>
    <row r="112" spans="1:4" x14ac:dyDescent="0.25">
      <c r="A112" s="3" t="s">
        <v>115</v>
      </c>
      <c r="B112" s="3" t="s">
        <v>116</v>
      </c>
      <c r="C112" s="3" t="s">
        <v>6</v>
      </c>
    </row>
    <row r="113" spans="1:4" x14ac:dyDescent="0.25">
      <c r="A113" s="3" t="s">
        <v>115</v>
      </c>
      <c r="B113" s="3" t="s">
        <v>117</v>
      </c>
      <c r="C113" s="3" t="s">
        <v>6</v>
      </c>
    </row>
    <row r="114" spans="1:4" x14ac:dyDescent="0.25">
      <c r="A114" s="3" t="s">
        <v>115</v>
      </c>
      <c r="B114" s="3" t="s">
        <v>118</v>
      </c>
      <c r="C114" s="3" t="s">
        <v>10</v>
      </c>
    </row>
    <row r="115" spans="1:4" x14ac:dyDescent="0.25">
      <c r="A115" s="3" t="s">
        <v>115</v>
      </c>
      <c r="B115" s="3" t="s">
        <v>119</v>
      </c>
      <c r="C115" s="3" t="s">
        <v>6</v>
      </c>
    </row>
    <row r="116" spans="1:4" x14ac:dyDescent="0.25">
      <c r="A116" s="3" t="s">
        <v>115</v>
      </c>
      <c r="B116" s="3" t="s">
        <v>120</v>
      </c>
      <c r="C116" s="3" t="s">
        <v>6</v>
      </c>
    </row>
    <row r="117" spans="1:4" x14ac:dyDescent="0.25">
      <c r="A117" s="5" t="s">
        <v>121</v>
      </c>
      <c r="B117" s="5" t="s">
        <v>122</v>
      </c>
      <c r="C117" s="5" t="s">
        <v>123</v>
      </c>
      <c r="D117" s="5" t="s">
        <v>124</v>
      </c>
    </row>
    <row r="118" spans="1:4" x14ac:dyDescent="0.25">
      <c r="A118" s="3">
        <f>SUM(B118,C118)</f>
        <v>5</v>
      </c>
      <c r="B118" s="3">
        <f>COUNTIFS($C$112:$C$116, "Atende*")</f>
        <v>4</v>
      </c>
      <c r="C118" s="3">
        <f>COUNTIFS($C$112:$C$116, "Não atende*")</f>
        <v>1</v>
      </c>
      <c r="D118" s="9">
        <f>(B118/A118)</f>
        <v>0.8</v>
      </c>
    </row>
    <row r="119" spans="1:4" x14ac:dyDescent="0.25">
      <c r="A119"/>
      <c r="B119"/>
      <c r="C119"/>
    </row>
    <row r="120" spans="1:4" x14ac:dyDescent="0.25">
      <c r="A120"/>
      <c r="B120"/>
      <c r="C120"/>
    </row>
    <row r="121" spans="1:4" ht="15.75" x14ac:dyDescent="0.25">
      <c r="A121" s="7" t="s">
        <v>1</v>
      </c>
      <c r="B121" s="7" t="s">
        <v>2</v>
      </c>
      <c r="C121" s="7" t="s">
        <v>3</v>
      </c>
    </row>
    <row r="122" spans="1:4" x14ac:dyDescent="0.25">
      <c r="A122" s="3" t="s">
        <v>125</v>
      </c>
      <c r="B122" s="3" t="s">
        <v>126</v>
      </c>
      <c r="C122" s="3" t="s">
        <v>6</v>
      </c>
    </row>
    <row r="123" spans="1:4" x14ac:dyDescent="0.25">
      <c r="A123" s="3" t="s">
        <v>125</v>
      </c>
      <c r="B123" s="3" t="s">
        <v>127</v>
      </c>
      <c r="C123" s="3" t="s">
        <v>6</v>
      </c>
    </row>
    <row r="124" spans="1:4" x14ac:dyDescent="0.25">
      <c r="A124" s="3" t="s">
        <v>125</v>
      </c>
      <c r="B124" s="3" t="s">
        <v>128</v>
      </c>
      <c r="C124" s="3" t="s">
        <v>10</v>
      </c>
    </row>
    <row r="125" spans="1:4" x14ac:dyDescent="0.25">
      <c r="A125" s="3" t="s">
        <v>125</v>
      </c>
      <c r="B125" s="3" t="s">
        <v>129</v>
      </c>
      <c r="C125" s="3" t="s">
        <v>6</v>
      </c>
    </row>
    <row r="126" spans="1:4" x14ac:dyDescent="0.25">
      <c r="A126" s="3" t="s">
        <v>125</v>
      </c>
      <c r="B126" s="3" t="s">
        <v>130</v>
      </c>
      <c r="C126" s="3" t="s">
        <v>6</v>
      </c>
    </row>
    <row r="127" spans="1:4" x14ac:dyDescent="0.25">
      <c r="A127" s="5" t="s">
        <v>131</v>
      </c>
      <c r="B127" s="5" t="s">
        <v>132</v>
      </c>
      <c r="C127" s="5" t="s">
        <v>133</v>
      </c>
      <c r="D127" s="5" t="s">
        <v>134</v>
      </c>
    </row>
    <row r="128" spans="1:4" x14ac:dyDescent="0.25">
      <c r="A128" s="3">
        <f>SUM(B128,C128)</f>
        <v>5</v>
      </c>
      <c r="B128" s="3">
        <f>COUNTIFS($C$122:$C$126, "Atende*")</f>
        <v>4</v>
      </c>
      <c r="C128" s="3">
        <f>COUNTIFS($C$122:$C$126, "Não atende*")</f>
        <v>1</v>
      </c>
      <c r="D128" s="9">
        <f>(B128/A128)</f>
        <v>0.8</v>
      </c>
    </row>
    <row r="129" spans="1:4" x14ac:dyDescent="0.25">
      <c r="A129" s="1"/>
      <c r="B129" s="1"/>
    </row>
    <row r="130" spans="1:4" x14ac:dyDescent="0.25">
      <c r="A130" s="1"/>
      <c r="B130" s="1"/>
    </row>
    <row r="131" spans="1:4" x14ac:dyDescent="0.25">
      <c r="A131" s="1"/>
      <c r="B131" s="1"/>
    </row>
    <row r="132" spans="1:4" x14ac:dyDescent="0.25">
      <c r="A132" s="1"/>
      <c r="B132" s="1"/>
    </row>
    <row r="133" spans="1:4" x14ac:dyDescent="0.25">
      <c r="A133" s="5" t="s">
        <v>135</v>
      </c>
      <c r="B133" s="5" t="s">
        <v>136</v>
      </c>
      <c r="C133" s="5" t="s">
        <v>137</v>
      </c>
      <c r="D133" s="5" t="s">
        <v>138</v>
      </c>
    </row>
    <row r="134" spans="1:4" x14ac:dyDescent="0.25">
      <c r="A134" s="3">
        <f>SUM(B134,C134)</f>
        <v>69</v>
      </c>
      <c r="B134" s="3">
        <f>COUNTIFS($C$3:$C$126, "Atende*")</f>
        <v>47</v>
      </c>
      <c r="C134" s="3">
        <f>COUNTIFS($C$3:$C$126, "Não atende*")</f>
        <v>22</v>
      </c>
      <c r="D134" s="6">
        <f>(B134/A134)</f>
        <v>0.6811594202898551</v>
      </c>
    </row>
    <row r="135" spans="1:4" x14ac:dyDescent="0.25">
      <c r="A135" s="1"/>
      <c r="B135" s="1"/>
    </row>
    <row r="136" spans="1:4" x14ac:dyDescent="0.25">
      <c r="A136" s="1"/>
      <c r="B136" s="1"/>
    </row>
    <row r="137" spans="1:4" x14ac:dyDescent="0.25">
      <c r="A137" s="1"/>
      <c r="B137" s="1"/>
    </row>
    <row r="138" spans="1:4" x14ac:dyDescent="0.25">
      <c r="A138" s="1"/>
      <c r="B138" s="1"/>
    </row>
    <row r="139" spans="1:4" x14ac:dyDescent="0.25">
      <c r="A139" s="1"/>
      <c r="B139" s="1"/>
    </row>
    <row r="140" spans="1:4" x14ac:dyDescent="0.25">
      <c r="A140" s="1"/>
      <c r="B140" s="1"/>
    </row>
    <row r="141" spans="1:4" x14ac:dyDescent="0.25">
      <c r="A141" s="1"/>
      <c r="B141" s="1"/>
    </row>
    <row r="142" spans="1:4" x14ac:dyDescent="0.25">
      <c r="A142" s="1"/>
      <c r="B142" s="1"/>
    </row>
    <row r="143" spans="1:4" x14ac:dyDescent="0.25">
      <c r="A143" s="1"/>
      <c r="B143" s="1"/>
    </row>
    <row r="144" spans="1:4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54D116ED16784B832F80E0BEF72847" ma:contentTypeVersion="15" ma:contentTypeDescription="Create a new document." ma:contentTypeScope="" ma:versionID="1a01681b81d4cac73bfcf1764dfdca6d">
  <xsd:schema xmlns:xsd="http://www.w3.org/2001/XMLSchema" xmlns:xs="http://www.w3.org/2001/XMLSchema" xmlns:p="http://schemas.microsoft.com/office/2006/metadata/properties" xmlns:ns3="d4c4f424-04dc-4067-abf7-2cdaf5be40b7" xmlns:ns4="59a2b59b-6ce1-4938-bf5c-70297f05899c" targetNamespace="http://schemas.microsoft.com/office/2006/metadata/properties" ma:root="true" ma:fieldsID="32e5ae574255e8b6d7cb0b625cde7ee3" ns3:_="" ns4:_="">
    <xsd:import namespace="d4c4f424-04dc-4067-abf7-2cdaf5be40b7"/>
    <xsd:import namespace="59a2b59b-6ce1-4938-bf5c-70297f0589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4f424-04dc-4067-abf7-2cdaf5be4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2b59b-6ce1-4938-bf5c-70297f05899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c4f424-04dc-4067-abf7-2cdaf5be40b7" xsi:nil="true"/>
  </documentManagement>
</p:properties>
</file>

<file path=customXml/itemProps1.xml><?xml version="1.0" encoding="utf-8"?>
<ds:datastoreItem xmlns:ds="http://schemas.openxmlformats.org/officeDocument/2006/customXml" ds:itemID="{BF95609E-6CCE-44D6-BD6A-38C9BFA1C9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0113E9-F6C8-4C98-88F2-4A67A0E93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4f424-04dc-4067-abf7-2cdaf5be40b7"/>
    <ds:schemaRef ds:uri="59a2b59b-6ce1-4938-bf5c-70297f0589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4656E7-7DAC-4850-9A06-F6B76FD8F491}">
  <ds:schemaRefs>
    <ds:schemaRef ds:uri="http://purl.org/dc/dcmitype/"/>
    <ds:schemaRef ds:uri="http://schemas.microsoft.com/office/2006/documentManagement/types"/>
    <ds:schemaRef ds:uri="59a2b59b-6ce1-4938-bf5c-70297f05899c"/>
    <ds:schemaRef ds:uri="d4c4f424-04dc-4067-abf7-2cdaf5be40b7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 da Entrevista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Stefany Carlos de Oliveira</dc:creator>
  <cp:keywords/>
  <dc:description/>
  <cp:lastModifiedBy>Stefany Carlos de Oliveira</cp:lastModifiedBy>
  <cp:revision/>
  <dcterms:created xsi:type="dcterms:W3CDTF">2026-03-11T19:57:07Z</dcterms:created>
  <dcterms:modified xsi:type="dcterms:W3CDTF">2026-06-10T20:25:44Z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0x0101002854D116ED16784B832F80E0BEF72847</vt:lpwstr>
  </property>
</Properties>
</file>