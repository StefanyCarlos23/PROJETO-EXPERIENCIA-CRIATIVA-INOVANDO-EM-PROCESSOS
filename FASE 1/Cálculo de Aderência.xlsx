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ucpredu-my.sharepoint.com/personal/stefany_oliveira_pucpr_edu_br/Documents/Documentos/GitHub/PROJETO-EXPERIENCIA-CRIATIVA-INOVANDO-EM-PROCESSOS/"/>
    </mc:Choice>
  </mc:AlternateContent>
  <xr:revisionPtr revIDLastSave="196" documentId="8_{F7F65C9B-4747-43F2-8C94-60B0778BAAE8}" xr6:coauthVersionLast="47" xr6:coauthVersionMax="47" xr10:uidLastSave="{CE775961-7593-4F9F-A9C1-6EE2FD7F4BAB}"/>
  <bookViews>
    <workbookView xWindow="-108" yWindow="-108" windowWidth="23256" windowHeight="12456" xr2:uid="{2BA9A6CF-492F-4CCB-A27F-FFC55E200CD8}"/>
  </bookViews>
  <sheets>
    <sheet name="Planejamento da Entrevis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6" i="1" l="1"/>
  <c r="C76" i="1"/>
  <c r="B76" i="1"/>
  <c r="A76" i="1" l="1"/>
</calcChain>
</file>

<file path=xl/sharedStrings.xml><?xml version="1.0" encoding="utf-8"?>
<sst xmlns="http://schemas.openxmlformats.org/spreadsheetml/2006/main" count="215" uniqueCount="91">
  <si>
    <t>Processo</t>
  </si>
  <si>
    <t>REP</t>
  </si>
  <si>
    <t>GPR1</t>
  </si>
  <si>
    <t>GPR2</t>
  </si>
  <si>
    <t>GPR3</t>
  </si>
  <si>
    <t>GPR4</t>
  </si>
  <si>
    <t>GPR5</t>
  </si>
  <si>
    <t>GPR6</t>
  </si>
  <si>
    <t>GPR7</t>
  </si>
  <si>
    <t>GPR8</t>
  </si>
  <si>
    <t>GPR9</t>
  </si>
  <si>
    <t>GPR10</t>
  </si>
  <si>
    <t>GPR11</t>
  </si>
  <si>
    <t>GPR12</t>
  </si>
  <si>
    <t>GPR13</t>
  </si>
  <si>
    <t>GPR14</t>
  </si>
  <si>
    <t>GPR15</t>
  </si>
  <si>
    <t>GPR16</t>
  </si>
  <si>
    <t>GPR17</t>
  </si>
  <si>
    <t>GPR18</t>
  </si>
  <si>
    <t>GPR19</t>
  </si>
  <si>
    <t>REQ1</t>
  </si>
  <si>
    <t>REQ2</t>
  </si>
  <si>
    <t>REQ3</t>
  </si>
  <si>
    <t>REQ4</t>
  </si>
  <si>
    <t>REQ5</t>
  </si>
  <si>
    <t>PCP1</t>
  </si>
  <si>
    <t>PCP2</t>
  </si>
  <si>
    <t>PCP3</t>
  </si>
  <si>
    <t>ITP1</t>
  </si>
  <si>
    <t>ITP2</t>
  </si>
  <si>
    <t>ITP3</t>
  </si>
  <si>
    <t>ITP4</t>
  </si>
  <si>
    <t>ITP5</t>
  </si>
  <si>
    <t>ITP6</t>
  </si>
  <si>
    <t>VV1</t>
  </si>
  <si>
    <t>VV2</t>
  </si>
  <si>
    <t>VV3</t>
  </si>
  <si>
    <t>VV4</t>
  </si>
  <si>
    <t>GCO1</t>
  </si>
  <si>
    <t>GCO2</t>
  </si>
  <si>
    <t>GCO3</t>
  </si>
  <si>
    <t>GCO4</t>
  </si>
  <si>
    <t>GCO5</t>
  </si>
  <si>
    <t>AQU1</t>
  </si>
  <si>
    <t>AQU2</t>
  </si>
  <si>
    <t>AQU3</t>
  </si>
  <si>
    <t>AQU4</t>
  </si>
  <si>
    <t>MED1</t>
  </si>
  <si>
    <t>MED2</t>
  </si>
  <si>
    <t>MED3</t>
  </si>
  <si>
    <t>MED4</t>
  </si>
  <si>
    <t>MED5</t>
  </si>
  <si>
    <t>GDE1</t>
  </si>
  <si>
    <t>GDE2</t>
  </si>
  <si>
    <t>GDE3</t>
  </si>
  <si>
    <t>GDE4</t>
  </si>
  <si>
    <t>GDE5</t>
  </si>
  <si>
    <t>GDE6</t>
  </si>
  <si>
    <t>CAP1</t>
  </si>
  <si>
    <t>CAP2</t>
  </si>
  <si>
    <t>GPC1</t>
  </si>
  <si>
    <t>GPC2</t>
  </si>
  <si>
    <t>GPC3</t>
  </si>
  <si>
    <t>GPC4</t>
  </si>
  <si>
    <t>GPC5</t>
  </si>
  <si>
    <t>OSW1</t>
  </si>
  <si>
    <t>OSW2</t>
  </si>
  <si>
    <t>OSW3</t>
  </si>
  <si>
    <t>OSW4</t>
  </si>
  <si>
    <t>OSW5</t>
  </si>
  <si>
    <t>Atende</t>
  </si>
  <si>
    <t>Não atende</t>
  </si>
  <si>
    <t xml:space="preserve">Gerência de Projetos - GPR </t>
  </si>
  <si>
    <t xml:space="preserve">Engenharia de Requisitos - REQ </t>
  </si>
  <si>
    <t xml:space="preserve">Projeto e Construção do Produto -  PCP </t>
  </si>
  <si>
    <t xml:space="preserve">Integração do Produto - ITP </t>
  </si>
  <si>
    <t xml:space="preserve">Verificação e Validação - VV </t>
  </si>
  <si>
    <t xml:space="preserve">Gerência de Configuração - GCO </t>
  </si>
  <si>
    <t xml:space="preserve">Aquisição - AQU </t>
  </si>
  <si>
    <t xml:space="preserve">Medição - MED </t>
  </si>
  <si>
    <t xml:space="preserve">Gerência de Decisões - GDE </t>
  </si>
  <si>
    <t xml:space="preserve">Capacitação - CAP </t>
  </si>
  <si>
    <t xml:space="preserve">Gerência de Processos - GPC </t>
  </si>
  <si>
    <t xml:space="preserve">Gerência Organizacional de Software - OSW </t>
  </si>
  <si>
    <t>Resultado</t>
  </si>
  <si>
    <t>Total de REPs Avaliados</t>
  </si>
  <si>
    <t>Total de Reps Atendidos</t>
  </si>
  <si>
    <t>Aderência Geral</t>
  </si>
  <si>
    <t>Calculo de Aderência  - MAISPS</t>
  </si>
  <si>
    <t>Total de REPs que Não Atendem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</si>
</sst>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rgb="FF365F9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9" fontId="0" fillId="0" borderId="0" xfId="1" quotePrefix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CE830-7F7C-41D2-A9BA-6FF81A5547EE}">
  <dimension ref="A1:D104"/>
  <sheetViews>
    <sheetView tabSelected="1" topLeftCell="A66" zoomScale="145" zoomScaleNormal="145" workbookViewId="0">
      <selection activeCell="B78" sqref="B78"/>
    </sheetView>
  </sheetViews>
  <sheetFormatPr defaultColWidth="8.5546875" defaultRowHeight="14.4" x14ac:dyDescent="0.3"/>
  <cols>
    <col min="1" max="1" width="38.77734375" style="2" customWidth="1"/>
    <col min="2" max="2" width="28.77734375" style="2" customWidth="1"/>
    <col min="3" max="3" width="34.6640625" style="1" customWidth="1"/>
    <col min="4" max="4" width="17.44140625" customWidth="1"/>
  </cols>
  <sheetData>
    <row r="1" spans="1:3" ht="34.950000000000003" customHeight="1" x14ac:dyDescent="0.3">
      <c r="A1" s="6" t="s">
        <v>89</v>
      </c>
      <c r="B1" s="6"/>
      <c r="C1" s="7"/>
    </row>
    <row r="2" spans="1:3" s="5" customFormat="1" ht="28.2" customHeight="1" x14ac:dyDescent="0.3">
      <c r="A2" s="3" t="s">
        <v>0</v>
      </c>
      <c r="B2" s="3" t="s">
        <v>1</v>
      </c>
      <c r="C2" s="3" t="s">
        <v>85</v>
      </c>
    </row>
    <row r="3" spans="1:3" x14ac:dyDescent="0.3">
      <c r="A3" s="4" t="s">
        <v>73</v>
      </c>
      <c r="B3" s="4" t="s">
        <v>2</v>
      </c>
      <c r="C3" s="4" t="s">
        <v>71</v>
      </c>
    </row>
    <row r="4" spans="1:3" ht="13.8" customHeight="1" x14ac:dyDescent="0.3">
      <c r="A4" s="4" t="s">
        <v>73</v>
      </c>
      <c r="B4" s="4" t="s">
        <v>3</v>
      </c>
      <c r="C4" s="4" t="s">
        <v>71</v>
      </c>
    </row>
    <row r="5" spans="1:3" x14ac:dyDescent="0.3">
      <c r="A5" s="4" t="s">
        <v>73</v>
      </c>
      <c r="B5" s="4" t="s">
        <v>4</v>
      </c>
      <c r="C5" s="4" t="s">
        <v>72</v>
      </c>
    </row>
    <row r="6" spans="1:3" x14ac:dyDescent="0.3">
      <c r="A6" s="4" t="s">
        <v>73</v>
      </c>
      <c r="B6" s="4" t="s">
        <v>5</v>
      </c>
      <c r="C6" s="4" t="s">
        <v>72</v>
      </c>
    </row>
    <row r="7" spans="1:3" x14ac:dyDescent="0.3">
      <c r="A7" s="4" t="s">
        <v>73</v>
      </c>
      <c r="B7" s="4" t="s">
        <v>6</v>
      </c>
      <c r="C7" s="4" t="s">
        <v>71</v>
      </c>
    </row>
    <row r="8" spans="1:3" x14ac:dyDescent="0.3">
      <c r="A8" s="4" t="s">
        <v>73</v>
      </c>
      <c r="B8" s="4" t="s">
        <v>7</v>
      </c>
      <c r="C8" s="4" t="s">
        <v>71</v>
      </c>
    </row>
    <row r="9" spans="1:3" x14ac:dyDescent="0.3">
      <c r="A9" s="4" t="s">
        <v>73</v>
      </c>
      <c r="B9" s="4" t="s">
        <v>8</v>
      </c>
      <c r="C9" s="4" t="s">
        <v>72</v>
      </c>
    </row>
    <row r="10" spans="1:3" x14ac:dyDescent="0.3">
      <c r="A10" s="4" t="s">
        <v>73</v>
      </c>
      <c r="B10" s="4" t="s">
        <v>9</v>
      </c>
      <c r="C10" s="4" t="s">
        <v>72</v>
      </c>
    </row>
    <row r="11" spans="1:3" x14ac:dyDescent="0.3">
      <c r="A11" s="4" t="s">
        <v>73</v>
      </c>
      <c r="B11" s="4" t="s">
        <v>10</v>
      </c>
      <c r="C11" s="4" t="s">
        <v>71</v>
      </c>
    </row>
    <row r="12" spans="1:3" x14ac:dyDescent="0.3">
      <c r="A12" s="4" t="s">
        <v>73</v>
      </c>
      <c r="B12" s="4" t="s">
        <v>11</v>
      </c>
      <c r="C12" s="4" t="s">
        <v>72</v>
      </c>
    </row>
    <row r="13" spans="1:3" x14ac:dyDescent="0.3">
      <c r="A13" s="4" t="s">
        <v>73</v>
      </c>
      <c r="B13" s="4" t="s">
        <v>12</v>
      </c>
      <c r="C13" s="4" t="s">
        <v>72</v>
      </c>
    </row>
    <row r="14" spans="1:3" x14ac:dyDescent="0.3">
      <c r="A14" s="4" t="s">
        <v>73</v>
      </c>
      <c r="B14" s="4" t="s">
        <v>13</v>
      </c>
      <c r="C14" s="4" t="s">
        <v>71</v>
      </c>
    </row>
    <row r="15" spans="1:3" x14ac:dyDescent="0.3">
      <c r="A15" s="4" t="s">
        <v>73</v>
      </c>
      <c r="B15" s="4" t="s">
        <v>14</v>
      </c>
      <c r="C15" s="4" t="s">
        <v>71</v>
      </c>
    </row>
    <row r="16" spans="1:3" x14ac:dyDescent="0.3">
      <c r="A16" s="4" t="s">
        <v>73</v>
      </c>
      <c r="B16" s="4" t="s">
        <v>15</v>
      </c>
      <c r="C16" s="4" t="s">
        <v>71</v>
      </c>
    </row>
    <row r="17" spans="1:3" x14ac:dyDescent="0.3">
      <c r="A17" s="4" t="s">
        <v>73</v>
      </c>
      <c r="B17" s="4" t="s">
        <v>16</v>
      </c>
      <c r="C17" s="4" t="s">
        <v>71</v>
      </c>
    </row>
    <row r="18" spans="1:3" x14ac:dyDescent="0.3">
      <c r="A18" s="4" t="s">
        <v>73</v>
      </c>
      <c r="B18" s="4" t="s">
        <v>17</v>
      </c>
      <c r="C18" s="4" t="s">
        <v>72</v>
      </c>
    </row>
    <row r="19" spans="1:3" x14ac:dyDescent="0.3">
      <c r="A19" s="4" t="s">
        <v>73</v>
      </c>
      <c r="B19" s="4" t="s">
        <v>18</v>
      </c>
      <c r="C19" s="4" t="s">
        <v>72</v>
      </c>
    </row>
    <row r="20" spans="1:3" x14ac:dyDescent="0.3">
      <c r="A20" s="4" t="s">
        <v>73</v>
      </c>
      <c r="B20" s="4" t="s">
        <v>19</v>
      </c>
      <c r="C20" s="4" t="s">
        <v>71</v>
      </c>
    </row>
    <row r="21" spans="1:3" x14ac:dyDescent="0.3">
      <c r="A21" s="4" t="s">
        <v>73</v>
      </c>
      <c r="B21" s="4" t="s">
        <v>20</v>
      </c>
      <c r="C21" s="4" t="s">
        <v>71</v>
      </c>
    </row>
    <row r="22" spans="1:3" x14ac:dyDescent="0.3">
      <c r="A22" s="4" t="s">
        <v>74</v>
      </c>
      <c r="B22" s="4" t="s">
        <v>21</v>
      </c>
      <c r="C22" s="4" t="s">
        <v>71</v>
      </c>
    </row>
    <row r="23" spans="1:3" x14ac:dyDescent="0.3">
      <c r="A23" s="4" t="s">
        <v>74</v>
      </c>
      <c r="B23" s="4" t="s">
        <v>22</v>
      </c>
      <c r="C23" s="4" t="s">
        <v>71</v>
      </c>
    </row>
    <row r="24" spans="1:3" x14ac:dyDescent="0.3">
      <c r="A24" s="4" t="s">
        <v>74</v>
      </c>
      <c r="B24" s="4" t="s">
        <v>23</v>
      </c>
      <c r="C24" s="4" t="s">
        <v>71</v>
      </c>
    </row>
    <row r="25" spans="1:3" x14ac:dyDescent="0.3">
      <c r="A25" s="4" t="s">
        <v>74</v>
      </c>
      <c r="B25" s="4" t="s">
        <v>24</v>
      </c>
      <c r="C25" s="4" t="s">
        <v>71</v>
      </c>
    </row>
    <row r="26" spans="1:3" x14ac:dyDescent="0.3">
      <c r="A26" s="4" t="s">
        <v>74</v>
      </c>
      <c r="B26" s="4" t="s">
        <v>25</v>
      </c>
      <c r="C26" s="4" t="s">
        <v>71</v>
      </c>
    </row>
    <row r="27" spans="1:3" x14ac:dyDescent="0.3">
      <c r="A27" s="4" t="s">
        <v>75</v>
      </c>
      <c r="B27" s="4" t="s">
        <v>26</v>
      </c>
      <c r="C27" s="4" t="s">
        <v>72</v>
      </c>
    </row>
    <row r="28" spans="1:3" x14ac:dyDescent="0.3">
      <c r="A28" s="4" t="s">
        <v>75</v>
      </c>
      <c r="B28" s="4" t="s">
        <v>27</v>
      </c>
      <c r="C28" s="4" t="s">
        <v>71</v>
      </c>
    </row>
    <row r="29" spans="1:3" x14ac:dyDescent="0.3">
      <c r="A29" s="4" t="s">
        <v>75</v>
      </c>
      <c r="B29" s="4" t="s">
        <v>28</v>
      </c>
      <c r="C29" s="4" t="s">
        <v>71</v>
      </c>
    </row>
    <row r="30" spans="1:3" x14ac:dyDescent="0.3">
      <c r="A30" s="4" t="s">
        <v>76</v>
      </c>
      <c r="B30" s="4" t="s">
        <v>29</v>
      </c>
      <c r="C30" s="4" t="s">
        <v>72</v>
      </c>
    </row>
    <row r="31" spans="1:3" x14ac:dyDescent="0.3">
      <c r="A31" s="4" t="s">
        <v>76</v>
      </c>
      <c r="B31" s="4" t="s">
        <v>30</v>
      </c>
      <c r="C31" s="4" t="s">
        <v>71</v>
      </c>
    </row>
    <row r="32" spans="1:3" x14ac:dyDescent="0.3">
      <c r="A32" s="4" t="s">
        <v>76</v>
      </c>
      <c r="B32" s="4" t="s">
        <v>31</v>
      </c>
      <c r="C32" s="4" t="s">
        <v>72</v>
      </c>
    </row>
    <row r="33" spans="1:3" x14ac:dyDescent="0.3">
      <c r="A33" s="4" t="s">
        <v>76</v>
      </c>
      <c r="B33" s="4" t="s">
        <v>32</v>
      </c>
      <c r="C33" s="4" t="s">
        <v>72</v>
      </c>
    </row>
    <row r="34" spans="1:3" x14ac:dyDescent="0.3">
      <c r="A34" s="4" t="s">
        <v>76</v>
      </c>
      <c r="B34" s="4" t="s">
        <v>33</v>
      </c>
      <c r="C34" s="4" t="s">
        <v>72</v>
      </c>
    </row>
    <row r="35" spans="1:3" x14ac:dyDescent="0.3">
      <c r="A35" s="4" t="s">
        <v>76</v>
      </c>
      <c r="B35" s="4" t="s">
        <v>34</v>
      </c>
      <c r="C35" s="4" t="s">
        <v>71</v>
      </c>
    </row>
    <row r="36" spans="1:3" x14ac:dyDescent="0.3">
      <c r="A36" s="4" t="s">
        <v>77</v>
      </c>
      <c r="B36" s="4" t="s">
        <v>35</v>
      </c>
      <c r="C36" s="4" t="s">
        <v>72</v>
      </c>
    </row>
    <row r="37" spans="1:3" x14ac:dyDescent="0.3">
      <c r="A37" s="4" t="s">
        <v>77</v>
      </c>
      <c r="B37" s="4" t="s">
        <v>36</v>
      </c>
      <c r="C37" s="4" t="s">
        <v>72</v>
      </c>
    </row>
    <row r="38" spans="1:3" x14ac:dyDescent="0.3">
      <c r="A38" s="4" t="s">
        <v>77</v>
      </c>
      <c r="B38" s="4" t="s">
        <v>37</v>
      </c>
      <c r="C38" s="4" t="s">
        <v>72</v>
      </c>
    </row>
    <row r="39" spans="1:3" x14ac:dyDescent="0.3">
      <c r="A39" s="4" t="s">
        <v>77</v>
      </c>
      <c r="B39" s="4" t="s">
        <v>38</v>
      </c>
      <c r="C39" s="4" t="s">
        <v>72</v>
      </c>
    </row>
    <row r="40" spans="1:3" x14ac:dyDescent="0.3">
      <c r="A40" s="4" t="s">
        <v>78</v>
      </c>
      <c r="B40" s="4" t="s">
        <v>39</v>
      </c>
      <c r="C40" s="4" t="s">
        <v>72</v>
      </c>
    </row>
    <row r="41" spans="1:3" x14ac:dyDescent="0.3">
      <c r="A41" s="4" t="s">
        <v>78</v>
      </c>
      <c r="B41" s="4" t="s">
        <v>40</v>
      </c>
      <c r="C41" s="4" t="s">
        <v>72</v>
      </c>
    </row>
    <row r="42" spans="1:3" x14ac:dyDescent="0.3">
      <c r="A42" s="4" t="s">
        <v>78</v>
      </c>
      <c r="B42" s="4" t="s">
        <v>41</v>
      </c>
      <c r="C42" s="4" t="s">
        <v>72</v>
      </c>
    </row>
    <row r="43" spans="1:3" x14ac:dyDescent="0.3">
      <c r="A43" s="4" t="s">
        <v>78</v>
      </c>
      <c r="B43" s="4" t="s">
        <v>42</v>
      </c>
      <c r="C43" s="4" t="s">
        <v>72</v>
      </c>
    </row>
    <row r="44" spans="1:3" x14ac:dyDescent="0.3">
      <c r="A44" s="4" t="s">
        <v>78</v>
      </c>
      <c r="B44" s="4" t="s">
        <v>43</v>
      </c>
      <c r="C44" s="4" t="s">
        <v>72</v>
      </c>
    </row>
    <row r="45" spans="1:3" x14ac:dyDescent="0.3">
      <c r="A45" s="4" t="s">
        <v>79</v>
      </c>
      <c r="B45" s="4" t="s">
        <v>44</v>
      </c>
      <c r="C45" s="4" t="s">
        <v>71</v>
      </c>
    </row>
    <row r="46" spans="1:3" x14ac:dyDescent="0.3">
      <c r="A46" s="4" t="s">
        <v>79</v>
      </c>
      <c r="B46" s="4" t="s">
        <v>45</v>
      </c>
      <c r="C46" s="4" t="s">
        <v>71</v>
      </c>
    </row>
    <row r="47" spans="1:3" x14ac:dyDescent="0.3">
      <c r="A47" s="4" t="s">
        <v>79</v>
      </c>
      <c r="B47" s="4" t="s">
        <v>46</v>
      </c>
      <c r="C47" s="4" t="s">
        <v>72</v>
      </c>
    </row>
    <row r="48" spans="1:3" ht="34.5" customHeight="1" x14ac:dyDescent="0.3">
      <c r="A48" s="4" t="s">
        <v>79</v>
      </c>
      <c r="B48" s="4" t="s">
        <v>47</v>
      </c>
      <c r="C48" s="4" t="s">
        <v>71</v>
      </c>
    </row>
    <row r="49" spans="1:3" x14ac:dyDescent="0.3">
      <c r="A49" s="4" t="s">
        <v>80</v>
      </c>
      <c r="B49" s="4" t="s">
        <v>48</v>
      </c>
      <c r="C49" s="4" t="s">
        <v>71</v>
      </c>
    </row>
    <row r="50" spans="1:3" x14ac:dyDescent="0.3">
      <c r="A50" s="4" t="s">
        <v>80</v>
      </c>
      <c r="B50" s="4" t="s">
        <v>49</v>
      </c>
      <c r="C50" s="4" t="s">
        <v>72</v>
      </c>
    </row>
    <row r="51" spans="1:3" x14ac:dyDescent="0.3">
      <c r="A51" s="4" t="s">
        <v>80</v>
      </c>
      <c r="B51" s="4" t="s">
        <v>50</v>
      </c>
      <c r="C51" s="4" t="s">
        <v>71</v>
      </c>
    </row>
    <row r="52" spans="1:3" x14ac:dyDescent="0.3">
      <c r="A52" s="4" t="s">
        <v>80</v>
      </c>
      <c r="B52" s="4" t="s">
        <v>51</v>
      </c>
      <c r="C52" s="4" t="s">
        <v>72</v>
      </c>
    </row>
    <row r="53" spans="1:3" x14ac:dyDescent="0.3">
      <c r="A53" s="4" t="s">
        <v>80</v>
      </c>
      <c r="B53" s="4" t="s">
        <v>52</v>
      </c>
      <c r="C53" s="4" t="s">
        <v>72</v>
      </c>
    </row>
    <row r="54" spans="1:3" x14ac:dyDescent="0.3">
      <c r="A54" s="4" t="s">
        <v>81</v>
      </c>
      <c r="B54" s="4" t="s">
        <v>53</v>
      </c>
      <c r="C54" s="4" t="s">
        <v>72</v>
      </c>
    </row>
    <row r="55" spans="1:3" x14ac:dyDescent="0.3">
      <c r="A55" s="4" t="s">
        <v>81</v>
      </c>
      <c r="B55" s="4" t="s">
        <v>54</v>
      </c>
      <c r="C55" s="4" t="s">
        <v>71</v>
      </c>
    </row>
    <row r="56" spans="1:3" x14ac:dyDescent="0.3">
      <c r="A56" s="4" t="s">
        <v>81</v>
      </c>
      <c r="B56" s="4" t="s">
        <v>55</v>
      </c>
      <c r="C56" s="4" t="s">
        <v>71</v>
      </c>
    </row>
    <row r="57" spans="1:3" x14ac:dyDescent="0.3">
      <c r="A57" s="4" t="s">
        <v>81</v>
      </c>
      <c r="B57" s="4" t="s">
        <v>56</v>
      </c>
      <c r="C57" s="4" t="s">
        <v>72</v>
      </c>
    </row>
    <row r="58" spans="1:3" x14ac:dyDescent="0.3">
      <c r="A58" s="4" t="s">
        <v>81</v>
      </c>
      <c r="B58" s="4" t="s">
        <v>57</v>
      </c>
      <c r="C58" s="4" t="s">
        <v>71</v>
      </c>
    </row>
    <row r="59" spans="1:3" x14ac:dyDescent="0.3">
      <c r="A59" s="4" t="s">
        <v>81</v>
      </c>
      <c r="B59" s="4" t="s">
        <v>58</v>
      </c>
      <c r="C59" s="4" t="s">
        <v>72</v>
      </c>
    </row>
    <row r="60" spans="1:3" x14ac:dyDescent="0.3">
      <c r="A60" s="4" t="s">
        <v>82</v>
      </c>
      <c r="B60" s="4" t="s">
        <v>59</v>
      </c>
      <c r="C60" s="4" t="s">
        <v>71</v>
      </c>
    </row>
    <row r="61" spans="1:3" x14ac:dyDescent="0.3">
      <c r="A61" s="4" t="s">
        <v>82</v>
      </c>
      <c r="B61" s="4" t="s">
        <v>60</v>
      </c>
      <c r="C61" s="4" t="s">
        <v>71</v>
      </c>
    </row>
    <row r="62" spans="1:3" x14ac:dyDescent="0.3">
      <c r="A62" s="4" t="s">
        <v>83</v>
      </c>
      <c r="B62" s="4" t="s">
        <v>61</v>
      </c>
      <c r="C62" s="4" t="s">
        <v>71</v>
      </c>
    </row>
    <row r="63" spans="1:3" x14ac:dyDescent="0.3">
      <c r="A63" s="4" t="s">
        <v>83</v>
      </c>
      <c r="B63" s="4" t="s">
        <v>62</v>
      </c>
      <c r="C63" s="4" t="s">
        <v>71</v>
      </c>
    </row>
    <row r="64" spans="1:3" x14ac:dyDescent="0.3">
      <c r="A64" s="4" t="s">
        <v>83</v>
      </c>
      <c r="B64" s="4" t="s">
        <v>63</v>
      </c>
      <c r="C64" s="4" t="s">
        <v>72</v>
      </c>
    </row>
    <row r="65" spans="1:4" x14ac:dyDescent="0.3">
      <c r="A65" s="4" t="s">
        <v>83</v>
      </c>
      <c r="B65" s="4" t="s">
        <v>64</v>
      </c>
      <c r="C65" s="4" t="s">
        <v>71</v>
      </c>
    </row>
    <row r="66" spans="1:4" x14ac:dyDescent="0.3">
      <c r="A66" s="4" t="s">
        <v>83</v>
      </c>
      <c r="B66" s="4" t="s">
        <v>65</v>
      </c>
      <c r="C66" s="4" t="s">
        <v>71</v>
      </c>
    </row>
    <row r="67" spans="1:4" x14ac:dyDescent="0.3">
      <c r="A67" s="4" t="s">
        <v>84</v>
      </c>
      <c r="B67" s="4" t="s">
        <v>66</v>
      </c>
      <c r="C67" s="4" t="s">
        <v>71</v>
      </c>
    </row>
    <row r="68" spans="1:4" x14ac:dyDescent="0.3">
      <c r="A68" s="4" t="s">
        <v>84</v>
      </c>
      <c r="B68" s="4" t="s">
        <v>67</v>
      </c>
      <c r="C68" s="4" t="s">
        <v>71</v>
      </c>
    </row>
    <row r="69" spans="1:4" x14ac:dyDescent="0.3">
      <c r="A69" s="4" t="s">
        <v>84</v>
      </c>
      <c r="B69" s="4" t="s">
        <v>68</v>
      </c>
      <c r="C69" s="4" t="s">
        <v>72</v>
      </c>
    </row>
    <row r="70" spans="1:4" x14ac:dyDescent="0.3">
      <c r="A70" s="4" t="s">
        <v>84</v>
      </c>
      <c r="B70" s="4" t="s">
        <v>69</v>
      </c>
      <c r="C70" s="4" t="s">
        <v>71</v>
      </c>
    </row>
    <row r="71" spans="1:4" x14ac:dyDescent="0.3">
      <c r="A71" s="4" t="s">
        <v>84</v>
      </c>
      <c r="B71" s="4" t="s">
        <v>70</v>
      </c>
      <c r="C71" s="4" t="s">
        <v>71</v>
      </c>
    </row>
    <row r="72" spans="1:4" x14ac:dyDescent="0.3">
      <c r="A72" s="1"/>
      <c r="B72" s="1"/>
    </row>
    <row r="73" spans="1:4" x14ac:dyDescent="0.3">
      <c r="A73" s="1"/>
      <c r="B73" s="1"/>
    </row>
    <row r="74" spans="1:4" x14ac:dyDescent="0.3">
      <c r="A74" s="1"/>
      <c r="B74" s="1"/>
    </row>
    <row r="75" spans="1:4" x14ac:dyDescent="0.3">
      <c r="A75" s="1" t="s">
        <v>86</v>
      </c>
      <c r="B75" s="1" t="s">
        <v>87</v>
      </c>
      <c r="C75" s="1" t="s">
        <v>90</v>
      </c>
      <c r="D75" s="1" t="s">
        <v>88</v>
      </c>
    </row>
    <row r="76" spans="1:4" x14ac:dyDescent="0.3">
      <c r="A76" s="1">
        <f>SUM(B76,C76)</f>
        <v>69</v>
      </c>
      <c r="B76" s="1">
        <f>COUNTIFS($C$3:$C$71, "Atende*")</f>
        <v>38</v>
      </c>
      <c r="C76" s="1">
        <f>COUNTIFS($C$3:$C$71, "Não atende*")</f>
        <v>31</v>
      </c>
      <c r="D76" s="8">
        <f>(B76/A76)</f>
        <v>0.55072463768115942</v>
      </c>
    </row>
    <row r="77" spans="1:4" x14ac:dyDescent="0.3">
      <c r="A77" s="1"/>
      <c r="B77" s="1"/>
    </row>
    <row r="78" spans="1:4" x14ac:dyDescent="0.3">
      <c r="A78" s="1"/>
      <c r="B78" s="1"/>
    </row>
    <row r="79" spans="1:4" x14ac:dyDescent="0.3">
      <c r="A79" s="1"/>
      <c r="B79" s="1"/>
    </row>
    <row r="80" spans="1:4" x14ac:dyDescent="0.3">
      <c r="A80" s="1"/>
      <c r="B80" s="1"/>
    </row>
    <row r="81" spans="1:2" x14ac:dyDescent="0.3">
      <c r="A81" s="1"/>
      <c r="B81" s="1"/>
    </row>
    <row r="82" spans="1:2" x14ac:dyDescent="0.3">
      <c r="A82" s="1"/>
      <c r="B82" s="1"/>
    </row>
    <row r="83" spans="1:2" x14ac:dyDescent="0.3">
      <c r="A83" s="1"/>
      <c r="B83" s="1"/>
    </row>
    <row r="84" spans="1:2" x14ac:dyDescent="0.3">
      <c r="A84" s="1"/>
      <c r="B84" s="1"/>
    </row>
    <row r="85" spans="1:2" x14ac:dyDescent="0.3">
      <c r="A85" s="1"/>
      <c r="B85" s="1"/>
    </row>
    <row r="86" spans="1:2" x14ac:dyDescent="0.3">
      <c r="A86" s="1"/>
      <c r="B86" s="1"/>
    </row>
    <row r="87" spans="1:2" x14ac:dyDescent="0.3">
      <c r="A87" s="1"/>
      <c r="B87" s="1"/>
    </row>
    <row r="88" spans="1:2" x14ac:dyDescent="0.3">
      <c r="A88" s="1"/>
      <c r="B88" s="1"/>
    </row>
    <row r="89" spans="1:2" x14ac:dyDescent="0.3">
      <c r="A89" s="1"/>
      <c r="B89" s="1"/>
    </row>
    <row r="90" spans="1:2" x14ac:dyDescent="0.3">
      <c r="A90" s="1"/>
      <c r="B90" s="1"/>
    </row>
    <row r="91" spans="1:2" x14ac:dyDescent="0.3">
      <c r="A91" s="1"/>
      <c r="B91" s="1"/>
    </row>
    <row r="92" spans="1:2" x14ac:dyDescent="0.3">
      <c r="A92" s="1"/>
      <c r="B92" s="1"/>
    </row>
    <row r="93" spans="1:2" x14ac:dyDescent="0.3">
      <c r="A93" s="1"/>
      <c r="B93" s="1"/>
    </row>
    <row r="94" spans="1:2" x14ac:dyDescent="0.3">
      <c r="A94" s="1"/>
      <c r="B94" s="1"/>
    </row>
    <row r="95" spans="1:2" x14ac:dyDescent="0.3">
      <c r="A95" s="1"/>
      <c r="B95" s="1"/>
    </row>
    <row r="96" spans="1:2" x14ac:dyDescent="0.3">
      <c r="A96" s="1"/>
      <c r="B96" s="1"/>
    </row>
    <row r="97" spans="1:2" x14ac:dyDescent="0.3">
      <c r="A97" s="1"/>
      <c r="B97" s="1"/>
    </row>
    <row r="98" spans="1:2" x14ac:dyDescent="0.3">
      <c r="A98" s="1"/>
      <c r="B98" s="1"/>
    </row>
    <row r="99" spans="1:2" x14ac:dyDescent="0.3">
      <c r="A99" s="1"/>
      <c r="B99" s="1"/>
    </row>
    <row r="100" spans="1:2" x14ac:dyDescent="0.3">
      <c r="A100" s="1"/>
      <c r="B100" s="1"/>
    </row>
    <row r="101" spans="1:2" x14ac:dyDescent="0.3">
      <c r="A101" s="1"/>
      <c r="B101" s="1"/>
    </row>
    <row r="102" spans="1:2" x14ac:dyDescent="0.3">
      <c r="A102" s="1"/>
      <c r="B102" s="1"/>
    </row>
    <row r="103" spans="1:2" x14ac:dyDescent="0.3">
      <c r="A103" s="1"/>
      <c r="B103" s="1"/>
    </row>
    <row r="104" spans="1:2" x14ac:dyDescent="0.3">
      <c r="A104" s="1"/>
      <c r="B104" s="1"/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54D116ED16784B832F80E0BEF72847" ma:contentTypeVersion="15" ma:contentTypeDescription="Create a new document." ma:contentTypeScope="" ma:versionID="1a01681b81d4cac73bfcf1764dfdca6d">
  <xsd:schema xmlns:xsd="http://www.w3.org/2001/XMLSchema" xmlns:xs="http://www.w3.org/2001/XMLSchema" xmlns:p="http://schemas.microsoft.com/office/2006/metadata/properties" xmlns:ns3="d4c4f424-04dc-4067-abf7-2cdaf5be40b7" xmlns:ns4="59a2b59b-6ce1-4938-bf5c-70297f05899c" targetNamespace="http://schemas.microsoft.com/office/2006/metadata/properties" ma:root="true" ma:fieldsID="32e5ae574255e8b6d7cb0b625cde7ee3" ns3:_="" ns4:_="">
    <xsd:import namespace="d4c4f424-04dc-4067-abf7-2cdaf5be40b7"/>
    <xsd:import namespace="59a2b59b-6ce1-4938-bf5c-70297f05899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4f424-04dc-4067-abf7-2cdaf5be40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a2b59b-6ce1-4938-bf5c-70297f05899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4c4f424-04dc-4067-abf7-2cdaf5be40b7" xsi:nil="true"/>
  </documentManagement>
</p:properties>
</file>

<file path=customXml/itemProps1.xml><?xml version="1.0" encoding="utf-8"?>
<ds:datastoreItem xmlns:ds="http://schemas.openxmlformats.org/officeDocument/2006/customXml" ds:itemID="{710113E9-F6C8-4C98-88F2-4A67A0E932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c4f424-04dc-4067-abf7-2cdaf5be40b7"/>
    <ds:schemaRef ds:uri="59a2b59b-6ce1-4938-bf5c-70297f0589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95609E-6CCE-44D6-BD6A-38C9BFA1C9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4656E7-7DAC-4850-9A06-F6B76FD8F491}">
  <ds:schemaRefs>
    <ds:schemaRef ds:uri="http://schemas.microsoft.com/office/2006/metadata/properties"/>
    <ds:schemaRef ds:uri="d4c4f424-04dc-4067-abf7-2cdaf5be40b7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59a2b59b-6ce1-4938-bf5c-70297f05899c"/>
    <ds:schemaRef ds:uri="http://schemas.microsoft.com/office/infopath/2007/PartnerControls"/>
    <ds:schemaRef ds:uri="http://purl.org/dc/terms/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Planejamento da Entrevista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Stefany Carlos de Oliveira</dc:creator>
  <cp:keywords/>
  <dc:description/>
  <cp:lastModifiedBy>Stefany Carlos de Oliveira</cp:lastModifiedBy>
  <cp:revision/>
  <cp:lastPrinted>2026-04-01T20:43:30Z</cp:lastPrinted>
  <dcterms:created xsi:type="dcterms:W3CDTF">2026-03-11T19:57:07Z</dcterms:created>
  <dcterms:modified xsi:type="dcterms:W3CDTF">2026-04-01T20:55:55Z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0x0101002854D116ED16784B832F80E0BEF72847</vt:lpwstr>
  </property>
</Properties>
</file>